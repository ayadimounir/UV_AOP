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6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8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9.xml" ContentType="application/vnd.openxmlformats-officedocument.drawing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drawings/drawing10.xml" ContentType="application/vnd.openxmlformats-officedocument.drawing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drawings/drawing11.xml" ContentType="application/vnd.openxmlformats-officedocument.drawing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drawings/drawing12.xml" ContentType="application/vnd.openxmlformats-officedocument.drawing+xml"/>
  <Override PartName="/xl/tables/table1.xml" ContentType="application/vnd.openxmlformats-officedocument.spreadsheetml.table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drawings/drawing13.xml" ContentType="application/vnd.openxmlformats-officedocument.drawing+xml"/>
  <Override PartName="/xl/tables/table2.xml" ContentType="application/vnd.openxmlformats-officedocument.spreadsheetml.table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ounir\Desktop\Thèse\Toronto 2024\modelisation\modularized merged model\"/>
    </mc:Choice>
  </mc:AlternateContent>
  <xr:revisionPtr revIDLastSave="0" documentId="13_ncr:1_{C5E915AC-B1D1-49D7-9437-AB795F7462C7}" xr6:coauthVersionLast="47" xr6:coauthVersionMax="47" xr10:uidLastSave="{00000000-0000-0000-0000-000000000000}"/>
  <bookViews>
    <workbookView xWindow="-105" yWindow="0" windowWidth="14610" windowHeight="15585" firstSheet="11" activeTab="12" xr2:uid="{00000000-000D-0000-FFFF-FFFF00000000}"/>
  </bookViews>
  <sheets>
    <sheet name="week1" sheetId="1" r:id="rId1"/>
    <sheet name="week2" sheetId="2" r:id="rId2"/>
    <sheet name="week2-2" sheetId="3" r:id="rId3"/>
    <sheet name="week3" sheetId="4" r:id="rId4"/>
    <sheet name="week3-2" sheetId="5" r:id="rId5"/>
    <sheet name="week4reox" sheetId="6" r:id="rId6"/>
    <sheet name="dioxane analysis" sheetId="7" r:id="rId7"/>
    <sheet name="week5reox" sheetId="8" r:id="rId8"/>
    <sheet name="week6CBD" sheetId="9" r:id="rId9"/>
    <sheet name="week6reox" sheetId="10" r:id="rId10"/>
    <sheet name="week7reox" sheetId="11" r:id="rId11"/>
    <sheet name="week8reox ph5&amp;8" sheetId="12" r:id="rId12"/>
    <sheet name="week8reox ph7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7" roundtripDataChecksum="v337rUv20KqWezuCTdQW/0i2LPhZ43dBKB0s8we5BKU="/>
    </ext>
  </extLst>
</workbook>
</file>

<file path=xl/calcChain.xml><?xml version="1.0" encoding="utf-8"?>
<calcChain xmlns="http://schemas.openxmlformats.org/spreadsheetml/2006/main">
  <c r="I2" i="13" l="1"/>
  <c r="I30" i="13"/>
  <c r="Q57" i="13"/>
  <c r="N57" i="13"/>
  <c r="O57" i="13" s="1"/>
  <c r="I57" i="13"/>
  <c r="Q56" i="13"/>
  <c r="N56" i="13"/>
  <c r="O56" i="13" s="1"/>
  <c r="I56" i="13"/>
  <c r="Q55" i="13"/>
  <c r="O55" i="13"/>
  <c r="I55" i="13"/>
  <c r="Q54" i="13"/>
  <c r="O54" i="13"/>
  <c r="I54" i="13"/>
  <c r="Q53" i="13"/>
  <c r="O53" i="13"/>
  <c r="I53" i="13"/>
  <c r="Q52" i="13"/>
  <c r="O52" i="13"/>
  <c r="I52" i="13"/>
  <c r="Q51" i="13"/>
  <c r="O51" i="13"/>
  <c r="I51" i="13"/>
  <c r="Q50" i="13"/>
  <c r="O50" i="13"/>
  <c r="I50" i="13"/>
  <c r="Q49" i="13"/>
  <c r="O49" i="13"/>
  <c r="I49" i="13"/>
  <c r="Q48" i="13"/>
  <c r="O48" i="13"/>
  <c r="I48" i="13"/>
  <c r="Q47" i="13"/>
  <c r="O47" i="13"/>
  <c r="I47" i="13"/>
  <c r="Q46" i="13"/>
  <c r="O46" i="13"/>
  <c r="I46" i="13"/>
  <c r="Q45" i="13"/>
  <c r="O45" i="13"/>
  <c r="I45" i="13"/>
  <c r="Q44" i="13"/>
  <c r="O44" i="13"/>
  <c r="I44" i="13"/>
  <c r="J44" i="13" s="1"/>
  <c r="Q43" i="13"/>
  <c r="O43" i="13"/>
  <c r="I43" i="13"/>
  <c r="Q42" i="13"/>
  <c r="O42" i="13"/>
  <c r="I42" i="13"/>
  <c r="Q41" i="13"/>
  <c r="O41" i="13"/>
  <c r="I41" i="13"/>
  <c r="Q40" i="13"/>
  <c r="O40" i="13"/>
  <c r="I40" i="13"/>
  <c r="Q39" i="13"/>
  <c r="O39" i="13"/>
  <c r="I39" i="13"/>
  <c r="Q38" i="13"/>
  <c r="O38" i="13"/>
  <c r="I38" i="13"/>
  <c r="Q37" i="13"/>
  <c r="O37" i="13"/>
  <c r="I37" i="13"/>
  <c r="Q36" i="13"/>
  <c r="O36" i="13"/>
  <c r="I36" i="13"/>
  <c r="Q35" i="13"/>
  <c r="O35" i="13"/>
  <c r="I35" i="13"/>
  <c r="J35" i="13" s="1"/>
  <c r="Q34" i="13"/>
  <c r="O34" i="13"/>
  <c r="I34" i="13"/>
  <c r="J34" i="13" s="1"/>
  <c r="Q33" i="13"/>
  <c r="O33" i="13"/>
  <c r="I33" i="13"/>
  <c r="J33" i="13" s="1"/>
  <c r="Q32" i="13"/>
  <c r="O32" i="13"/>
  <c r="I32" i="13"/>
  <c r="J32" i="13" s="1"/>
  <c r="Q31" i="13"/>
  <c r="O31" i="13"/>
  <c r="I31" i="13"/>
  <c r="J31" i="13" s="1"/>
  <c r="Q30" i="13"/>
  <c r="O30" i="13"/>
  <c r="J30" i="13"/>
  <c r="Q29" i="13"/>
  <c r="O29" i="13"/>
  <c r="M29" i="13"/>
  <c r="I29" i="13"/>
  <c r="Q28" i="13"/>
  <c r="O28" i="13"/>
  <c r="M28" i="13"/>
  <c r="I28" i="13"/>
  <c r="Q27" i="13"/>
  <c r="O27" i="13"/>
  <c r="M27" i="13"/>
  <c r="I27" i="13"/>
  <c r="Q26" i="13"/>
  <c r="O26" i="13"/>
  <c r="M26" i="13"/>
  <c r="I26" i="13"/>
  <c r="Q25" i="13"/>
  <c r="O25" i="13"/>
  <c r="M25" i="13"/>
  <c r="I25" i="13"/>
  <c r="Q24" i="13"/>
  <c r="O24" i="13"/>
  <c r="M24" i="13"/>
  <c r="I24" i="13"/>
  <c r="Q23" i="13"/>
  <c r="O23" i="13"/>
  <c r="M23" i="13"/>
  <c r="I23" i="13"/>
  <c r="Q22" i="13"/>
  <c r="O22" i="13"/>
  <c r="M22" i="13"/>
  <c r="I22" i="13"/>
  <c r="Q21" i="13"/>
  <c r="O21" i="13"/>
  <c r="M21" i="13"/>
  <c r="I21" i="13"/>
  <c r="Q20" i="13"/>
  <c r="O20" i="13"/>
  <c r="M20" i="13"/>
  <c r="I20" i="13"/>
  <c r="Q19" i="13"/>
  <c r="O19" i="13"/>
  <c r="M19" i="13"/>
  <c r="I19" i="13"/>
  <c r="Q18" i="13"/>
  <c r="O18" i="13"/>
  <c r="M18" i="13"/>
  <c r="I18" i="13"/>
  <c r="Q17" i="13"/>
  <c r="O17" i="13"/>
  <c r="M17" i="13"/>
  <c r="I17" i="13"/>
  <c r="Q16" i="13"/>
  <c r="O16" i="13"/>
  <c r="M16" i="13"/>
  <c r="I16" i="13"/>
  <c r="J19" i="13" s="1"/>
  <c r="Q15" i="13"/>
  <c r="O15" i="13"/>
  <c r="M15" i="13"/>
  <c r="I15" i="13"/>
  <c r="Q14" i="13"/>
  <c r="O14" i="13"/>
  <c r="M14" i="13"/>
  <c r="I14" i="13"/>
  <c r="Q13" i="13"/>
  <c r="O13" i="13"/>
  <c r="M13" i="13"/>
  <c r="I13" i="13"/>
  <c r="Q12" i="13"/>
  <c r="O12" i="13"/>
  <c r="M12" i="13"/>
  <c r="I12" i="13"/>
  <c r="Q11" i="13"/>
  <c r="O11" i="13"/>
  <c r="M11" i="13"/>
  <c r="I11" i="13"/>
  <c r="Q10" i="13"/>
  <c r="O10" i="13"/>
  <c r="M10" i="13"/>
  <c r="I10" i="13"/>
  <c r="Q9" i="13"/>
  <c r="O9" i="13"/>
  <c r="M9" i="13"/>
  <c r="I9" i="13"/>
  <c r="Q8" i="13"/>
  <c r="O8" i="13"/>
  <c r="M8" i="13"/>
  <c r="I8" i="13"/>
  <c r="Q7" i="13"/>
  <c r="O7" i="13"/>
  <c r="M7" i="13"/>
  <c r="I7" i="13"/>
  <c r="Q6" i="13"/>
  <c r="O6" i="13"/>
  <c r="M6" i="13"/>
  <c r="I6" i="13"/>
  <c r="J6" i="13" s="1"/>
  <c r="Q5" i="13"/>
  <c r="O5" i="13"/>
  <c r="M5" i="13"/>
  <c r="I5" i="13"/>
  <c r="Q4" i="13"/>
  <c r="O4" i="13"/>
  <c r="M4" i="13"/>
  <c r="I4" i="13"/>
  <c r="J4" i="13" s="1"/>
  <c r="Q3" i="13"/>
  <c r="O3" i="13"/>
  <c r="M3" i="13"/>
  <c r="I3" i="13"/>
  <c r="J3" i="13" s="1"/>
  <c r="Q2" i="13"/>
  <c r="O2" i="13"/>
  <c r="M2" i="13"/>
  <c r="Q57" i="12"/>
  <c r="O57" i="12"/>
  <c r="M57" i="12"/>
  <c r="I57" i="12"/>
  <c r="Q56" i="12"/>
  <c r="O56" i="12"/>
  <c r="M56" i="12"/>
  <c r="I56" i="12"/>
  <c r="Q55" i="12"/>
  <c r="O55" i="12"/>
  <c r="M55" i="12"/>
  <c r="I55" i="12"/>
  <c r="Q54" i="12"/>
  <c r="O54" i="12"/>
  <c r="M54" i="12"/>
  <c r="I54" i="12"/>
  <c r="O53" i="12"/>
  <c r="M53" i="12"/>
  <c r="I53" i="12"/>
  <c r="Q52" i="12"/>
  <c r="O52" i="12"/>
  <c r="M52" i="12"/>
  <c r="I52" i="12"/>
  <c r="Q51" i="12"/>
  <c r="O51" i="12"/>
  <c r="M51" i="12"/>
  <c r="I51" i="12"/>
  <c r="Q50" i="12"/>
  <c r="O50" i="12"/>
  <c r="M50" i="12"/>
  <c r="I50" i="12"/>
  <c r="J50" i="12" s="1"/>
  <c r="Q49" i="12"/>
  <c r="O49" i="12"/>
  <c r="M49" i="12"/>
  <c r="I49" i="12"/>
  <c r="Q48" i="12"/>
  <c r="O48" i="12"/>
  <c r="M48" i="12"/>
  <c r="I48" i="12"/>
  <c r="J48" i="12" s="1"/>
  <c r="Q47" i="12"/>
  <c r="O47" i="12"/>
  <c r="M47" i="12"/>
  <c r="I47" i="12"/>
  <c r="Q46" i="12"/>
  <c r="O46" i="12"/>
  <c r="M46" i="12"/>
  <c r="I46" i="12"/>
  <c r="Q45" i="12"/>
  <c r="O45" i="12"/>
  <c r="M45" i="12"/>
  <c r="I45" i="12"/>
  <c r="Q44" i="12"/>
  <c r="O44" i="12"/>
  <c r="M44" i="12"/>
  <c r="I44" i="12"/>
  <c r="J46" i="12" s="1"/>
  <c r="Q43" i="12"/>
  <c r="O43" i="12"/>
  <c r="M43" i="12"/>
  <c r="I43" i="12"/>
  <c r="Q42" i="12"/>
  <c r="O42" i="12"/>
  <c r="M42" i="12"/>
  <c r="I42" i="12"/>
  <c r="Q41" i="12"/>
  <c r="O41" i="12"/>
  <c r="M41" i="12"/>
  <c r="I41" i="12"/>
  <c r="Q40" i="12"/>
  <c r="O40" i="12"/>
  <c r="M40" i="12"/>
  <c r="I40" i="12"/>
  <c r="Q39" i="12"/>
  <c r="O39" i="12"/>
  <c r="M39" i="12"/>
  <c r="I39" i="12"/>
  <c r="Q38" i="12"/>
  <c r="O38" i="12"/>
  <c r="M38" i="12"/>
  <c r="I38" i="12"/>
  <c r="Q37" i="12"/>
  <c r="O37" i="12"/>
  <c r="M37" i="12"/>
  <c r="I37" i="12"/>
  <c r="Q36" i="12"/>
  <c r="O36" i="12"/>
  <c r="M36" i="12"/>
  <c r="J36" i="12"/>
  <c r="I36" i="12"/>
  <c r="Q35" i="12"/>
  <c r="O35" i="12"/>
  <c r="M35" i="12"/>
  <c r="J35" i="12"/>
  <c r="I35" i="12"/>
  <c r="Q34" i="12"/>
  <c r="O34" i="12"/>
  <c r="M34" i="12"/>
  <c r="J34" i="12"/>
  <c r="I34" i="12"/>
  <c r="Q33" i="12"/>
  <c r="O33" i="12"/>
  <c r="M33" i="12"/>
  <c r="I33" i="12"/>
  <c r="J33" i="12" s="1"/>
  <c r="Q32" i="12"/>
  <c r="O32" i="12"/>
  <c r="M32" i="12"/>
  <c r="J32" i="12"/>
  <c r="I32" i="12"/>
  <c r="Q31" i="12"/>
  <c r="O31" i="12"/>
  <c r="M31" i="12"/>
  <c r="I31" i="12"/>
  <c r="J31" i="12" s="1"/>
  <c r="Q30" i="12"/>
  <c r="O30" i="12"/>
  <c r="M30" i="12"/>
  <c r="I30" i="12"/>
  <c r="J30" i="12" s="1"/>
  <c r="Q29" i="12"/>
  <c r="O29" i="12"/>
  <c r="M29" i="12"/>
  <c r="I29" i="12"/>
  <c r="Q28" i="12"/>
  <c r="O28" i="12"/>
  <c r="M28" i="12"/>
  <c r="I28" i="12"/>
  <c r="Q27" i="12"/>
  <c r="O27" i="12"/>
  <c r="M27" i="12"/>
  <c r="I27" i="12"/>
  <c r="Q26" i="12"/>
  <c r="O26" i="12"/>
  <c r="M26" i="12"/>
  <c r="I26" i="12"/>
  <c r="Q25" i="12"/>
  <c r="O25" i="12"/>
  <c r="M25" i="12"/>
  <c r="I25" i="12"/>
  <c r="Q24" i="12"/>
  <c r="O24" i="12"/>
  <c r="M24" i="12"/>
  <c r="I24" i="12"/>
  <c r="Q23" i="12"/>
  <c r="O23" i="12"/>
  <c r="M23" i="12"/>
  <c r="I23" i="12"/>
  <c r="Q22" i="12"/>
  <c r="O22" i="12"/>
  <c r="M22" i="12"/>
  <c r="I22" i="12"/>
  <c r="J22" i="12" s="1"/>
  <c r="Q21" i="12"/>
  <c r="O21" i="12"/>
  <c r="M21" i="12"/>
  <c r="I21" i="12"/>
  <c r="Q20" i="12"/>
  <c r="O20" i="12"/>
  <c r="M20" i="12"/>
  <c r="I20" i="12"/>
  <c r="J20" i="12" s="1"/>
  <c r="Q19" i="12"/>
  <c r="O19" i="12"/>
  <c r="M19" i="12"/>
  <c r="I19" i="12"/>
  <c r="Q18" i="12"/>
  <c r="O18" i="12"/>
  <c r="M18" i="12"/>
  <c r="I18" i="12"/>
  <c r="J18" i="12" s="1"/>
  <c r="Q17" i="12"/>
  <c r="O17" i="12"/>
  <c r="M17" i="12"/>
  <c r="J17" i="12"/>
  <c r="I17" i="12"/>
  <c r="Q16" i="12"/>
  <c r="O16" i="12"/>
  <c r="M16" i="12"/>
  <c r="I16" i="12"/>
  <c r="J19" i="12" s="1"/>
  <c r="Q15" i="12"/>
  <c r="O15" i="12"/>
  <c r="M15" i="12"/>
  <c r="I15" i="12"/>
  <c r="Q14" i="12"/>
  <c r="O14" i="12"/>
  <c r="M14" i="12"/>
  <c r="I14" i="12"/>
  <c r="Q13" i="12"/>
  <c r="O13" i="12"/>
  <c r="M13" i="12"/>
  <c r="I13" i="12"/>
  <c r="Q12" i="12"/>
  <c r="O12" i="12"/>
  <c r="M12" i="12"/>
  <c r="I12" i="12"/>
  <c r="Q11" i="12"/>
  <c r="O11" i="12"/>
  <c r="M11" i="12"/>
  <c r="I11" i="12"/>
  <c r="Q10" i="12"/>
  <c r="O10" i="12"/>
  <c r="M10" i="12"/>
  <c r="I10" i="12"/>
  <c r="Q9" i="12"/>
  <c r="O9" i="12"/>
  <c r="M9" i="12"/>
  <c r="I9" i="12"/>
  <c r="Q8" i="12"/>
  <c r="O8" i="12"/>
  <c r="M8" i="12"/>
  <c r="I8" i="12"/>
  <c r="Q7" i="12"/>
  <c r="O7" i="12"/>
  <c r="M7" i="12"/>
  <c r="I7" i="12"/>
  <c r="J7" i="12" s="1"/>
  <c r="Q6" i="12"/>
  <c r="O6" i="12"/>
  <c r="M6" i="12"/>
  <c r="J6" i="12"/>
  <c r="I6" i="12"/>
  <c r="Q5" i="12"/>
  <c r="O5" i="12"/>
  <c r="M5" i="12"/>
  <c r="I5" i="12"/>
  <c r="J5" i="12" s="1"/>
  <c r="Q4" i="12"/>
  <c r="O4" i="12"/>
  <c r="M4" i="12"/>
  <c r="J4" i="12"/>
  <c r="I4" i="12"/>
  <c r="Q3" i="12"/>
  <c r="O3" i="12"/>
  <c r="M3" i="12"/>
  <c r="I3" i="12"/>
  <c r="J3" i="12" s="1"/>
  <c r="Q2" i="12"/>
  <c r="O2" i="12"/>
  <c r="M2" i="12"/>
  <c r="J2" i="12"/>
  <c r="I2" i="12"/>
  <c r="J8" i="12" s="1"/>
  <c r="N43" i="11"/>
  <c r="H43" i="11"/>
  <c r="N42" i="11"/>
  <c r="H42" i="11"/>
  <c r="N41" i="11"/>
  <c r="H41" i="11"/>
  <c r="N40" i="11"/>
  <c r="H40" i="11"/>
  <c r="N39" i="11"/>
  <c r="H39" i="11"/>
  <c r="N38" i="11"/>
  <c r="H38" i="11"/>
  <c r="N37" i="11"/>
  <c r="H37" i="11"/>
  <c r="N36" i="11"/>
  <c r="H36" i="11"/>
  <c r="I36" i="11" s="1"/>
  <c r="N35" i="11"/>
  <c r="I35" i="11"/>
  <c r="H35" i="11"/>
  <c r="N34" i="11"/>
  <c r="H34" i="11"/>
  <c r="I34" i="11" s="1"/>
  <c r="N33" i="11"/>
  <c r="I33" i="11"/>
  <c r="H33" i="11"/>
  <c r="N32" i="11"/>
  <c r="H32" i="11"/>
  <c r="I32" i="11" s="1"/>
  <c r="N31" i="11"/>
  <c r="I31" i="11"/>
  <c r="H31" i="11"/>
  <c r="N30" i="11"/>
  <c r="H30" i="11"/>
  <c r="I30" i="11" s="1"/>
  <c r="P29" i="11"/>
  <c r="N29" i="11"/>
  <c r="H29" i="11"/>
  <c r="P28" i="11"/>
  <c r="N28" i="11"/>
  <c r="H28" i="11"/>
  <c r="R27" i="11"/>
  <c r="P27" i="11"/>
  <c r="N27" i="11"/>
  <c r="H27" i="11"/>
  <c r="R26" i="11"/>
  <c r="P26" i="11"/>
  <c r="N26" i="11"/>
  <c r="H26" i="11"/>
  <c r="R25" i="11"/>
  <c r="P25" i="11"/>
  <c r="N25" i="11"/>
  <c r="H25" i="11"/>
  <c r="R24" i="11"/>
  <c r="P24" i="11"/>
  <c r="N24" i="11"/>
  <c r="H24" i="11"/>
  <c r="R23" i="11"/>
  <c r="P23" i="11"/>
  <c r="N23" i="11"/>
  <c r="H23" i="11"/>
  <c r="R22" i="11"/>
  <c r="P22" i="11"/>
  <c r="N22" i="11"/>
  <c r="I22" i="11"/>
  <c r="H22" i="11"/>
  <c r="R21" i="11"/>
  <c r="P21" i="11"/>
  <c r="N21" i="11"/>
  <c r="H21" i="11"/>
  <c r="I21" i="11" s="1"/>
  <c r="R20" i="11"/>
  <c r="P20" i="11"/>
  <c r="N20" i="11"/>
  <c r="I20" i="11"/>
  <c r="H20" i="11"/>
  <c r="R19" i="11"/>
  <c r="P19" i="11"/>
  <c r="N19" i="11"/>
  <c r="H19" i="11"/>
  <c r="I19" i="11" s="1"/>
  <c r="R18" i="11"/>
  <c r="P18" i="11"/>
  <c r="N18" i="11"/>
  <c r="I18" i="11"/>
  <c r="H18" i="11"/>
  <c r="R17" i="11"/>
  <c r="P17" i="11"/>
  <c r="N17" i="11"/>
  <c r="H17" i="11"/>
  <c r="I17" i="11" s="1"/>
  <c r="R16" i="11"/>
  <c r="P16" i="11"/>
  <c r="N16" i="11"/>
  <c r="I16" i="11"/>
  <c r="H16" i="11"/>
  <c r="N15" i="11"/>
  <c r="H15" i="11"/>
  <c r="N14" i="11"/>
  <c r="H14" i="11"/>
  <c r="N13" i="11"/>
  <c r="H13" i="11"/>
  <c r="N12" i="11"/>
  <c r="H12" i="11"/>
  <c r="N11" i="11"/>
  <c r="H11" i="11"/>
  <c r="N10" i="11"/>
  <c r="H10" i="11"/>
  <c r="N9" i="11"/>
  <c r="H9" i="11"/>
  <c r="N8" i="11"/>
  <c r="H8" i="11"/>
  <c r="I8" i="11" s="1"/>
  <c r="N7" i="11"/>
  <c r="I7" i="11"/>
  <c r="H7" i="11"/>
  <c r="N6" i="11"/>
  <c r="H6" i="11"/>
  <c r="I6" i="11" s="1"/>
  <c r="N5" i="11"/>
  <c r="I5" i="11"/>
  <c r="H5" i="11"/>
  <c r="N4" i="11"/>
  <c r="H4" i="11"/>
  <c r="I4" i="11" s="1"/>
  <c r="N3" i="11"/>
  <c r="I3" i="11"/>
  <c r="H3" i="11"/>
  <c r="N2" i="11"/>
  <c r="H2" i="11"/>
  <c r="I2" i="11" s="1"/>
  <c r="N29" i="10"/>
  <c r="N28" i="10"/>
  <c r="N27" i="10"/>
  <c r="N26" i="10"/>
  <c r="N25" i="10"/>
  <c r="N24" i="10"/>
  <c r="N23" i="10"/>
  <c r="N22" i="10"/>
  <c r="H22" i="10"/>
  <c r="I22" i="10" s="1"/>
  <c r="N21" i="10"/>
  <c r="I21" i="10"/>
  <c r="H21" i="10"/>
  <c r="N20" i="10"/>
  <c r="H20" i="10"/>
  <c r="I20" i="10" s="1"/>
  <c r="N19" i="10"/>
  <c r="I19" i="10"/>
  <c r="H19" i="10"/>
  <c r="N18" i="10"/>
  <c r="H18" i="10"/>
  <c r="I18" i="10" s="1"/>
  <c r="N17" i="10"/>
  <c r="I17" i="10"/>
  <c r="H17" i="10"/>
  <c r="N16" i="10"/>
  <c r="H16" i="10"/>
  <c r="I16" i="10" s="1"/>
  <c r="N15" i="10"/>
  <c r="N14" i="10"/>
  <c r="N13" i="10"/>
  <c r="N12" i="10"/>
  <c r="N11" i="10"/>
  <c r="N10" i="10"/>
  <c r="N9" i="10"/>
  <c r="N8" i="10"/>
  <c r="H8" i="10"/>
  <c r="I8" i="10" s="1"/>
  <c r="N7" i="10"/>
  <c r="I7" i="10"/>
  <c r="H7" i="10"/>
  <c r="N6" i="10"/>
  <c r="H6" i="10"/>
  <c r="I6" i="10" s="1"/>
  <c r="N5" i="10"/>
  <c r="I5" i="10"/>
  <c r="H5" i="10"/>
  <c r="N4" i="10"/>
  <c r="H4" i="10"/>
  <c r="I4" i="10" s="1"/>
  <c r="N3" i="10"/>
  <c r="I3" i="10"/>
  <c r="H3" i="10"/>
  <c r="N2" i="10"/>
  <c r="H2" i="10"/>
  <c r="I2" i="10" s="1"/>
  <c r="N21" i="9"/>
  <c r="N20" i="9"/>
  <c r="N19" i="9"/>
  <c r="N18" i="9"/>
  <c r="N17" i="9"/>
  <c r="N16" i="9"/>
  <c r="H16" i="9"/>
  <c r="I16" i="9" s="1"/>
  <c r="N15" i="9"/>
  <c r="I15" i="9"/>
  <c r="H15" i="9"/>
  <c r="N14" i="9"/>
  <c r="H14" i="9"/>
  <c r="I14" i="9" s="1"/>
  <c r="N13" i="9"/>
  <c r="I13" i="9"/>
  <c r="H13" i="9"/>
  <c r="N12" i="9"/>
  <c r="H12" i="9"/>
  <c r="I12" i="9" s="1"/>
  <c r="N11" i="9"/>
  <c r="N10" i="9"/>
  <c r="N9" i="9"/>
  <c r="N8" i="9"/>
  <c r="N7" i="9"/>
  <c r="N6" i="9"/>
  <c r="H6" i="9"/>
  <c r="I6" i="9" s="1"/>
  <c r="N5" i="9"/>
  <c r="H5" i="9"/>
  <c r="I5" i="9" s="1"/>
  <c r="N4" i="9"/>
  <c r="H4" i="9"/>
  <c r="I4" i="9" s="1"/>
  <c r="N3" i="9"/>
  <c r="I3" i="9"/>
  <c r="H3" i="9"/>
  <c r="N2" i="9"/>
  <c r="H2" i="9"/>
  <c r="I2" i="9" s="1"/>
  <c r="N23" i="8"/>
  <c r="H23" i="8"/>
  <c r="I23" i="8" s="1"/>
  <c r="N22" i="8"/>
  <c r="H22" i="8"/>
  <c r="I22" i="8" s="1"/>
  <c r="N21" i="8"/>
  <c r="I21" i="8"/>
  <c r="H21" i="8"/>
  <c r="N20" i="8"/>
  <c r="H20" i="8"/>
  <c r="I20" i="8" s="1"/>
  <c r="N19" i="8"/>
  <c r="H19" i="8"/>
  <c r="I19" i="8" s="1"/>
  <c r="N18" i="8"/>
  <c r="H18" i="8"/>
  <c r="I18" i="8" s="1"/>
  <c r="N17" i="8"/>
  <c r="I17" i="8"/>
  <c r="H17" i="8"/>
  <c r="N16" i="8"/>
  <c r="H16" i="8"/>
  <c r="I16" i="8" s="1"/>
  <c r="N15" i="8"/>
  <c r="H15" i="8"/>
  <c r="I15" i="8" s="1"/>
  <c r="N14" i="8"/>
  <c r="H14" i="8"/>
  <c r="I14" i="8" s="1"/>
  <c r="N13" i="8"/>
  <c r="I13" i="8"/>
  <c r="H13" i="8"/>
  <c r="N12" i="8"/>
  <c r="H12" i="8"/>
  <c r="I12" i="8" s="1"/>
  <c r="N11" i="8"/>
  <c r="H11" i="8"/>
  <c r="I11" i="8" s="1"/>
  <c r="N10" i="8"/>
  <c r="H10" i="8"/>
  <c r="I10" i="8" s="1"/>
  <c r="N9" i="8"/>
  <c r="I9" i="8"/>
  <c r="H9" i="8"/>
  <c r="N8" i="8"/>
  <c r="H8" i="8"/>
  <c r="I8" i="8" s="1"/>
  <c r="N7" i="8"/>
  <c r="H7" i="8"/>
  <c r="I7" i="8" s="1"/>
  <c r="N6" i="8"/>
  <c r="H6" i="8"/>
  <c r="I6" i="8" s="1"/>
  <c r="N5" i="8"/>
  <c r="I5" i="8"/>
  <c r="H5" i="8"/>
  <c r="N4" i="8"/>
  <c r="H4" i="8"/>
  <c r="I4" i="8" s="1"/>
  <c r="N3" i="8"/>
  <c r="H3" i="8"/>
  <c r="I3" i="8" s="1"/>
  <c r="N2" i="8"/>
  <c r="H2" i="8"/>
  <c r="I2" i="8" s="1"/>
  <c r="J19" i="7"/>
  <c r="K19" i="7" s="1"/>
  <c r="I19" i="7"/>
  <c r="K18" i="7"/>
  <c r="J18" i="7"/>
  <c r="I18" i="7"/>
  <c r="J17" i="7"/>
  <c r="K17" i="7" s="1"/>
  <c r="I17" i="7"/>
  <c r="J16" i="7"/>
  <c r="I16" i="7"/>
  <c r="K15" i="7"/>
  <c r="J15" i="7"/>
  <c r="I15" i="7"/>
  <c r="J14" i="7"/>
  <c r="K14" i="7" s="1"/>
  <c r="I14" i="7"/>
  <c r="I13" i="7"/>
  <c r="K12" i="7"/>
  <c r="I12" i="7"/>
  <c r="K11" i="7"/>
  <c r="I11" i="7"/>
  <c r="I10" i="7"/>
  <c r="I9" i="7"/>
  <c r="I8" i="7"/>
  <c r="K7" i="7"/>
  <c r="I7" i="7"/>
  <c r="K6" i="7"/>
  <c r="I6" i="7"/>
  <c r="K5" i="7"/>
  <c r="I5" i="7"/>
  <c r="K4" i="7"/>
  <c r="I4" i="7"/>
  <c r="K3" i="7"/>
  <c r="I3" i="7"/>
  <c r="K2" i="7"/>
  <c r="I2" i="7"/>
  <c r="K10" i="7" s="1"/>
  <c r="K31" i="6"/>
  <c r="L31" i="6" s="1"/>
  <c r="L30" i="6"/>
  <c r="K30" i="6"/>
  <c r="N29" i="6"/>
  <c r="K29" i="6"/>
  <c r="L29" i="6" s="1"/>
  <c r="L28" i="6"/>
  <c r="K28" i="6"/>
  <c r="K27" i="6"/>
  <c r="L27" i="6" s="1"/>
  <c r="L26" i="6"/>
  <c r="K26" i="6"/>
  <c r="N25" i="6"/>
  <c r="M25" i="6"/>
  <c r="L25" i="6"/>
  <c r="K25" i="6"/>
  <c r="M24" i="6"/>
  <c r="L24" i="6"/>
  <c r="K24" i="6"/>
  <c r="N23" i="6"/>
  <c r="M23" i="6"/>
  <c r="L23" i="6"/>
  <c r="K23" i="6"/>
  <c r="N22" i="6"/>
  <c r="M22" i="6"/>
  <c r="N28" i="6" s="1"/>
  <c r="L22" i="6"/>
  <c r="K22" i="6"/>
  <c r="M21" i="6"/>
  <c r="L21" i="6"/>
  <c r="K21" i="6"/>
  <c r="N20" i="6"/>
  <c r="M20" i="6"/>
  <c r="N24" i="6" s="1"/>
  <c r="L20" i="6"/>
  <c r="K20" i="6"/>
  <c r="N19" i="6"/>
  <c r="K19" i="6"/>
  <c r="L19" i="6" s="1"/>
  <c r="N18" i="6"/>
  <c r="L18" i="6"/>
  <c r="K18" i="6"/>
  <c r="N17" i="6"/>
  <c r="K17" i="6"/>
  <c r="L17" i="6" s="1"/>
  <c r="N16" i="6"/>
  <c r="L16" i="6"/>
  <c r="K16" i="6"/>
  <c r="N15" i="6"/>
  <c r="K15" i="6"/>
  <c r="L15" i="6" s="1"/>
  <c r="N14" i="6"/>
  <c r="L14" i="6"/>
  <c r="K14" i="6"/>
  <c r="L13" i="6"/>
  <c r="L12" i="6"/>
  <c r="L11" i="6"/>
  <c r="L10" i="6"/>
  <c r="L9" i="6"/>
  <c r="L8" i="6"/>
  <c r="L7" i="6"/>
  <c r="K7" i="6"/>
  <c r="E7" i="6"/>
  <c r="K6" i="6"/>
  <c r="L6" i="6" s="1"/>
  <c r="E6" i="6"/>
  <c r="L5" i="6"/>
  <c r="K5" i="6"/>
  <c r="E5" i="6"/>
  <c r="K4" i="6"/>
  <c r="L4" i="6" s="1"/>
  <c r="E4" i="6"/>
  <c r="L3" i="6"/>
  <c r="K3" i="6"/>
  <c r="E3" i="6"/>
  <c r="K2" i="6"/>
  <c r="L2" i="6" s="1"/>
  <c r="E2" i="6"/>
  <c r="J15" i="5"/>
  <c r="K15" i="5" s="1"/>
  <c r="M14" i="5"/>
  <c r="J14" i="5"/>
  <c r="K14" i="5" s="1"/>
  <c r="M13" i="5"/>
  <c r="K13" i="5"/>
  <c r="J13" i="5"/>
  <c r="M12" i="5"/>
  <c r="J12" i="5"/>
  <c r="K12" i="5" s="1"/>
  <c r="J11" i="5"/>
  <c r="K11" i="5" s="1"/>
  <c r="M10" i="5"/>
  <c r="K10" i="5"/>
  <c r="J10" i="5"/>
  <c r="M9" i="5"/>
  <c r="J9" i="5"/>
  <c r="K9" i="5" s="1"/>
  <c r="J8" i="5"/>
  <c r="K8" i="5" s="1"/>
  <c r="M7" i="5"/>
  <c r="J7" i="5"/>
  <c r="M6" i="5"/>
  <c r="J6" i="5"/>
  <c r="K6" i="5" s="1"/>
  <c r="M5" i="5"/>
  <c r="K5" i="5"/>
  <c r="J5" i="5"/>
  <c r="K4" i="5"/>
  <c r="J4" i="5"/>
  <c r="M3" i="5"/>
  <c r="J3" i="5"/>
  <c r="K3" i="5" s="1"/>
  <c r="M2" i="5"/>
  <c r="J2" i="5"/>
  <c r="K7" i="5" s="1"/>
  <c r="M17" i="4"/>
  <c r="J17" i="4"/>
  <c r="K17" i="4" s="1"/>
  <c r="H17" i="4"/>
  <c r="K16" i="4"/>
  <c r="J16" i="4"/>
  <c r="H16" i="4"/>
  <c r="K15" i="4"/>
  <c r="J15" i="4"/>
  <c r="H15" i="4"/>
  <c r="L14" i="4"/>
  <c r="M14" i="4" s="1"/>
  <c r="J14" i="4"/>
  <c r="K14" i="4" s="1"/>
  <c r="H14" i="4"/>
  <c r="M13" i="4"/>
  <c r="J13" i="4"/>
  <c r="K13" i="4" s="1"/>
  <c r="H13" i="4"/>
  <c r="K12" i="4"/>
  <c r="J12" i="4"/>
  <c r="H12" i="4"/>
  <c r="K11" i="4"/>
  <c r="J11" i="4"/>
  <c r="H11" i="4"/>
  <c r="L10" i="4"/>
  <c r="M10" i="4" s="1"/>
  <c r="J10" i="4"/>
  <c r="K10" i="4" s="1"/>
  <c r="H10" i="4"/>
  <c r="J9" i="4"/>
  <c r="K9" i="4" s="1"/>
  <c r="H9" i="4"/>
  <c r="K8" i="4"/>
  <c r="J8" i="4"/>
  <c r="H8" i="4"/>
  <c r="K7" i="4"/>
  <c r="J7" i="4"/>
  <c r="H7" i="4"/>
  <c r="J6" i="4"/>
  <c r="K6" i="4" s="1"/>
  <c r="H6" i="4"/>
  <c r="M5" i="4"/>
  <c r="J5" i="4"/>
  <c r="K5" i="4" s="1"/>
  <c r="H5" i="4"/>
  <c r="K4" i="4"/>
  <c r="J4" i="4"/>
  <c r="H4" i="4"/>
  <c r="K3" i="4"/>
  <c r="J3" i="4"/>
  <c r="H3" i="4"/>
  <c r="L2" i="4"/>
  <c r="M2" i="4" s="1"/>
  <c r="J2" i="4"/>
  <c r="K2" i="4" s="1"/>
  <c r="H2" i="4"/>
  <c r="M15" i="4" s="1"/>
  <c r="M21" i="3"/>
  <c r="J21" i="3"/>
  <c r="K21" i="3" s="1"/>
  <c r="I21" i="3"/>
  <c r="H21" i="3"/>
  <c r="I20" i="3"/>
  <c r="J20" i="3" s="1"/>
  <c r="K20" i="3" s="1"/>
  <c r="H20" i="3"/>
  <c r="M19" i="3"/>
  <c r="J19" i="3"/>
  <c r="K19" i="3" s="1"/>
  <c r="H19" i="3"/>
  <c r="K18" i="3"/>
  <c r="J18" i="3"/>
  <c r="H18" i="3"/>
  <c r="L17" i="3"/>
  <c r="M17" i="3" s="1"/>
  <c r="J17" i="3"/>
  <c r="K17" i="3" s="1"/>
  <c r="H17" i="3"/>
  <c r="M16" i="3"/>
  <c r="J16" i="3"/>
  <c r="K16" i="3" s="1"/>
  <c r="I16" i="3"/>
  <c r="H16" i="3"/>
  <c r="I15" i="3"/>
  <c r="J15" i="3" s="1"/>
  <c r="K15" i="3" s="1"/>
  <c r="H15" i="3"/>
  <c r="M14" i="3"/>
  <c r="J14" i="3"/>
  <c r="K14" i="3" s="1"/>
  <c r="H14" i="3"/>
  <c r="K13" i="3"/>
  <c r="J13" i="3"/>
  <c r="H13" i="3"/>
  <c r="J12" i="3"/>
  <c r="K12" i="3" s="1"/>
  <c r="H12" i="3"/>
  <c r="M11" i="3"/>
  <c r="J11" i="3"/>
  <c r="K11" i="3" s="1"/>
  <c r="I11" i="3"/>
  <c r="H11" i="3"/>
  <c r="K10" i="3"/>
  <c r="J10" i="3"/>
  <c r="H10" i="3"/>
  <c r="K9" i="3"/>
  <c r="J9" i="3"/>
  <c r="H9" i="3"/>
  <c r="J8" i="3"/>
  <c r="K8" i="3" s="1"/>
  <c r="H8" i="3"/>
  <c r="K7" i="3"/>
  <c r="J7" i="3"/>
  <c r="H7" i="3"/>
  <c r="I6" i="3"/>
  <c r="J6" i="3" s="1"/>
  <c r="K6" i="3" s="1"/>
  <c r="H6" i="3"/>
  <c r="M5" i="3"/>
  <c r="J5" i="3"/>
  <c r="K5" i="3" s="1"/>
  <c r="I5" i="3"/>
  <c r="H5" i="3"/>
  <c r="J4" i="3"/>
  <c r="K4" i="3" s="1"/>
  <c r="H4" i="3"/>
  <c r="J3" i="3"/>
  <c r="K3" i="3" s="1"/>
  <c r="H3" i="3"/>
  <c r="M2" i="3"/>
  <c r="L2" i="3"/>
  <c r="K2" i="3"/>
  <c r="J2" i="3"/>
  <c r="H2" i="3"/>
  <c r="M10" i="3" s="1"/>
  <c r="G9" i="2"/>
  <c r="G8" i="2"/>
  <c r="G7" i="2"/>
  <c r="I6" i="2"/>
  <c r="J6" i="2" s="1"/>
  <c r="G6" i="2"/>
  <c r="J5" i="2"/>
  <c r="G5" i="2"/>
  <c r="G4" i="2"/>
  <c r="G3" i="2"/>
  <c r="G2" i="2"/>
  <c r="J4" i="2" s="1"/>
  <c r="G9" i="1"/>
  <c r="F9" i="1"/>
  <c r="F8" i="1"/>
  <c r="G8" i="1" s="1"/>
  <c r="F7" i="1"/>
  <c r="G7" i="1" s="1"/>
  <c r="G6" i="1"/>
  <c r="I6" i="1" s="1"/>
  <c r="F6" i="1"/>
  <c r="F5" i="1"/>
  <c r="G5" i="1" s="1"/>
  <c r="G4" i="1"/>
  <c r="F4" i="1"/>
  <c r="F3" i="1"/>
  <c r="G3" i="1" s="1"/>
  <c r="F2" i="1"/>
  <c r="G2" i="1" s="1"/>
  <c r="J47" i="13" l="1"/>
  <c r="J50" i="13"/>
  <c r="J48" i="13"/>
  <c r="J45" i="13"/>
  <c r="J49" i="13"/>
  <c r="J46" i="13"/>
  <c r="J17" i="13"/>
  <c r="J20" i="13"/>
  <c r="J36" i="13"/>
  <c r="J6" i="1"/>
  <c r="J4" i="1"/>
  <c r="J7" i="1"/>
  <c r="J3" i="1"/>
  <c r="J8" i="1"/>
  <c r="I2" i="1"/>
  <c r="J2" i="1" s="1"/>
  <c r="J9" i="1"/>
  <c r="J5" i="1"/>
  <c r="J22" i="13"/>
  <c r="M7" i="4"/>
  <c r="J44" i="12"/>
  <c r="J49" i="12"/>
  <c r="N26" i="6"/>
  <c r="N30" i="6"/>
  <c r="J2" i="13"/>
  <c r="J47" i="12"/>
  <c r="J7" i="13"/>
  <c r="J18" i="13"/>
  <c r="I2" i="2"/>
  <c r="J2" i="2" s="1"/>
  <c r="J7" i="2"/>
  <c r="M11" i="4"/>
  <c r="K2" i="5"/>
  <c r="N27" i="6"/>
  <c r="N31" i="6"/>
  <c r="J45" i="12"/>
  <c r="J5" i="13"/>
  <c r="J16" i="13"/>
  <c r="J8" i="2"/>
  <c r="M6" i="3"/>
  <c r="M9" i="3"/>
  <c r="M20" i="3"/>
  <c r="J16" i="12"/>
  <c r="J21" i="13"/>
  <c r="J3" i="2"/>
  <c r="L12" i="3"/>
  <c r="M12" i="3" s="1"/>
  <c r="L6" i="4"/>
  <c r="M6" i="4" s="1"/>
  <c r="M9" i="4"/>
  <c r="N21" i="6"/>
  <c r="J21" i="12"/>
  <c r="J9" i="2"/>
  <c r="M4" i="3"/>
  <c r="M15" i="3"/>
  <c r="M3" i="4"/>
  <c r="K9" i="7"/>
  <c r="J8" i="13"/>
  <c r="L7" i="3"/>
  <c r="M7" i="3" s="1"/>
</calcChain>
</file>

<file path=xl/sharedStrings.xml><?xml version="1.0" encoding="utf-8"?>
<sst xmlns="http://schemas.openxmlformats.org/spreadsheetml/2006/main" count="179" uniqueCount="29">
  <si>
    <t>time(minute)</t>
  </si>
  <si>
    <t>UV irradiance (mw/cm2)</t>
  </si>
  <si>
    <t>Cl20 (mgCl2/L)</t>
  </si>
  <si>
    <t>pH</t>
  </si>
  <si>
    <t>Phosphate buffer (mM)</t>
  </si>
  <si>
    <t>dioxane0 (micromol/L)</t>
  </si>
  <si>
    <t>dioxane0 (microgram/L)</t>
  </si>
  <si>
    <t>Cl2free (mgCl2/L)</t>
  </si>
  <si>
    <t>dioxane (microgram/L)</t>
  </si>
  <si>
    <t>dioxane C/C0</t>
  </si>
  <si>
    <t>UV</t>
  </si>
  <si>
    <t>replicate</t>
  </si>
  <si>
    <t>Cl2free dilution x5 (mgCl2/L)</t>
  </si>
  <si>
    <t>Cl2 C/C0</t>
  </si>
  <si>
    <t>Test number</t>
  </si>
  <si>
    <t>Cl2free C/C0</t>
  </si>
  <si>
    <t>experiment replicate</t>
  </si>
  <si>
    <t>sample replicate</t>
  </si>
  <si>
    <t>Dioxane std C0 area</t>
  </si>
  <si>
    <t>Cl2free (mgCl2/L) diluted x5</t>
  </si>
  <si>
    <t>Dioxane std C0</t>
  </si>
  <si>
    <t>sucralose (microgram/L</t>
  </si>
  <si>
    <t>sucralose C/C0</t>
  </si>
  <si>
    <t>caffeine (area)</t>
  </si>
  <si>
    <t>caffeine C/C0</t>
  </si>
  <si>
    <t>Nominal Cl2(0)</t>
  </si>
  <si>
    <t xml:space="preserve">DPD dilution factor </t>
  </si>
  <si>
    <t>caffeine (microgam/L)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</si>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</sst>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8"/>
      <color rgb="FF000000"/>
      <name val="Helvetica Neue"/>
    </font>
    <font>
      <sz val="8"/>
      <color theme="1"/>
      <name val="Helvetica Neue"/>
    </font>
  </fonts>
  <fills count="6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theme="4"/>
        <bgColor theme="4"/>
      </patternFill>
    </fill>
    <fill>
      <patternFill patternType="solid">
        <fgColor rgb="FFC55A11"/>
        <bgColor rgb="FFC55A11"/>
      </patternFill>
    </fill>
    <fill>
      <patternFill patternType="solid">
        <fgColor rgb="FF92D050"/>
        <bgColor rgb="FF92D05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11" fontId="2" fillId="0" borderId="0" xfId="0" applyNumberFormat="1" applyFont="1"/>
    <xf numFmtId="11" fontId="1" fillId="0" borderId="0" xfId="0" applyNumberFormat="1" applyFont="1"/>
    <xf numFmtId="1" fontId="3" fillId="0" borderId="1" xfId="0" applyNumberFormat="1" applyFont="1" applyBorder="1" applyAlignment="1">
      <alignment horizontal="right" vertical="top"/>
    </xf>
    <xf numFmtId="0" fontId="2" fillId="2" borderId="2" xfId="0" applyFont="1" applyFill="1" applyBorder="1"/>
    <xf numFmtId="0" fontId="2" fillId="0" borderId="0" xfId="0" applyFont="1" applyAlignment="1">
      <alignment horizontal="center"/>
    </xf>
    <xf numFmtId="0" fontId="2" fillId="3" borderId="2" xfId="0" applyFont="1" applyFill="1" applyBorder="1"/>
    <xf numFmtId="0" fontId="2" fillId="4" borderId="2" xfId="0" applyFont="1" applyFill="1" applyBorder="1"/>
    <xf numFmtId="0" fontId="2" fillId="5" borderId="2" xfId="0" applyFont="1" applyFill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/>
    <xf numFmtId="0" fontId="2" fillId="0" borderId="4" xfId="0" applyFont="1" applyBorder="1" applyAlignment="1">
      <alignment horizontal="center"/>
    </xf>
    <xf numFmtId="2" fontId="2" fillId="3" borderId="5" xfId="0" applyNumberFormat="1" applyFont="1" applyFill="1" applyBorder="1"/>
    <xf numFmtId="2" fontId="2" fillId="0" borderId="4" xfId="0" applyNumberFormat="1" applyFont="1" applyBorder="1"/>
    <xf numFmtId="2" fontId="2" fillId="4" borderId="5" xfId="0" applyNumberFormat="1" applyFont="1" applyFill="1" applyBorder="1"/>
    <xf numFmtId="2" fontId="2" fillId="5" borderId="5" xfId="0" applyNumberFormat="1" applyFont="1" applyFill="1" applyBorder="1"/>
    <xf numFmtId="2" fontId="2" fillId="0" borderId="6" xfId="0" applyNumberFormat="1" applyFont="1" applyBorder="1"/>
    <xf numFmtId="0" fontId="2" fillId="0" borderId="7" xfId="0" applyFont="1" applyBorder="1"/>
    <xf numFmtId="2" fontId="2" fillId="3" borderId="2" xfId="0" applyNumberFormat="1" applyFont="1" applyFill="1" applyBorder="1"/>
    <xf numFmtId="2" fontId="2" fillId="4" borderId="2" xfId="0" applyNumberFormat="1" applyFont="1" applyFill="1" applyBorder="1"/>
    <xf numFmtId="2" fontId="2" fillId="0" borderId="0" xfId="0" applyNumberFormat="1" applyFont="1"/>
    <xf numFmtId="2" fontId="2" fillId="5" borderId="2" xfId="0" applyNumberFormat="1" applyFont="1" applyFill="1" applyBorder="1"/>
    <xf numFmtId="2" fontId="2" fillId="0" borderId="8" xfId="0" applyNumberFormat="1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0" xfId="0" applyFont="1" applyBorder="1" applyAlignment="1">
      <alignment horizontal="center"/>
    </xf>
    <xf numFmtId="2" fontId="2" fillId="3" borderId="11" xfId="0" applyNumberFormat="1" applyFont="1" applyFill="1" applyBorder="1"/>
    <xf numFmtId="2" fontId="2" fillId="4" borderId="11" xfId="0" applyNumberFormat="1" applyFont="1" applyFill="1" applyBorder="1"/>
    <xf numFmtId="2" fontId="2" fillId="0" borderId="10" xfId="0" applyNumberFormat="1" applyFont="1" applyBorder="1"/>
    <xf numFmtId="2" fontId="2" fillId="5" borderId="11" xfId="0" applyNumberFormat="1" applyFont="1" applyFill="1" applyBorder="1"/>
    <xf numFmtId="2" fontId="4" fillId="5" borderId="5" xfId="0" applyNumberFormat="1" applyFont="1" applyFill="1" applyBorder="1" applyAlignment="1">
      <alignment horizontal="right" vertical="top"/>
    </xf>
    <xf numFmtId="2" fontId="4" fillId="5" borderId="2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6"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week8reox ph5&amp;8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week8reox ph7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customschemas.google.com/relationships/workbookmetadata" Target="metadata"/><Relationship Id="rId2" Type="http://schemas.openxmlformats.org/officeDocument/2006/relationships/worksheet" Target="worksheets/sheet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UV-Cl2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dioxane C/C0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week1!$A$2:$A$5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20</c:v>
                </c:pt>
                <c:pt idx="3">
                  <c:v>35</c:v>
                </c:pt>
              </c:numCache>
            </c:numRef>
          </c:xVal>
          <c:yVal>
            <c:numRef>
              <c:f>week1!$J$2:$J$5</c:f>
              <c:numCache>
                <c:formatCode>General</c:formatCode>
                <c:ptCount val="4"/>
                <c:pt idx="0">
                  <c:v>1</c:v>
                </c:pt>
                <c:pt idx="1">
                  <c:v>1.2992509363295881</c:v>
                </c:pt>
                <c:pt idx="2">
                  <c:v>1.0671887413460448</c:v>
                </c:pt>
                <c:pt idx="3">
                  <c:v>0.99557371467483824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57-4663-BE16-A953432A3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0635861"/>
        <c:axId val="433547363"/>
      </c:scatterChart>
      <c:valAx>
        <c:axId val="131063586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time (minute)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433547363"/>
        <c:crosses val="autoZero"/>
        <c:crossBetween val="midCat"/>
      </c:valAx>
      <c:valAx>
        <c:axId val="433547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dioxane C/C0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310635861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dark Cl2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week1!$A$6:$A$9</c:f>
              <c:numCache>
                <c:formatCode>General</c:formatCode>
                <c:ptCount val="4"/>
                <c:pt idx="0">
                  <c:v>0</c:v>
                </c:pt>
                <c:pt idx="1">
                  <c:v>5</c:v>
                </c:pt>
                <c:pt idx="2">
                  <c:v>20</c:v>
                </c:pt>
                <c:pt idx="3">
                  <c:v>35</c:v>
                </c:pt>
              </c:numCache>
            </c:numRef>
          </c:xVal>
          <c:yVal>
            <c:numRef>
              <c:f>week1!$I$6:$I$9</c:f>
              <c:numCache>
                <c:formatCode>General</c:formatCode>
                <c:ptCount val="4"/>
                <c:pt idx="0">
                  <c:v>88.11</c:v>
                </c:pt>
                <c:pt idx="1">
                  <c:v>117.69</c:v>
                </c:pt>
                <c:pt idx="2">
                  <c:v>110.97</c:v>
                </c:pt>
                <c:pt idx="3">
                  <c:v>111.81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FA1-4D89-BD0D-1FC95210B0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2534050"/>
        <c:axId val="156171915"/>
      </c:scatterChart>
      <c:valAx>
        <c:axId val="214253405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time (minute)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56171915"/>
        <c:crosses val="autoZero"/>
        <c:crossBetween val="midCat"/>
      </c:valAx>
      <c:valAx>
        <c:axId val="1561719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[dioxane] (microgram/L)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2142534050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UV-Cl2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Cl2free (mgCl2/L)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week2!$A$2:$A$5</c:f>
              <c:numCache>
                <c:formatCode>General</c:formatCode>
                <c:ptCount val="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</c:numCache>
            </c:numRef>
          </c:xVal>
          <c:yVal>
            <c:numRef>
              <c:f>week2!$H$2:$H$5</c:f>
              <c:numCache>
                <c:formatCode>General</c:formatCode>
                <c:ptCount val="4"/>
                <c:pt idx="0">
                  <c:v>9.6</c:v>
                </c:pt>
                <c:pt idx="1">
                  <c:v>7.7</c:v>
                </c:pt>
                <c:pt idx="2">
                  <c:v>6.8</c:v>
                </c:pt>
                <c:pt idx="3">
                  <c:v>6.4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C8D-4F64-ACBE-0E1E67AFC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149297"/>
        <c:axId val="554036585"/>
      </c:scatterChart>
      <c:valAx>
        <c:axId val="53314929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time (minute)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54036585"/>
        <c:crosses val="autoZero"/>
        <c:crossBetween val="midCat"/>
      </c:valAx>
      <c:valAx>
        <c:axId val="5540365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mgCl2/L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33149297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dark Cl2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week2!$A$6:$A$9</c:f>
              <c:numCache>
                <c:formatCode>General</c:formatCode>
                <c:ptCount val="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</c:numCache>
            </c:numRef>
          </c:xVal>
          <c:yVal>
            <c:numRef>
              <c:f>week2!$H$6:$H$9</c:f>
              <c:numCache>
                <c:formatCode>General</c:formatCode>
                <c:ptCount val="4"/>
                <c:pt idx="0">
                  <c:v>9.5</c:v>
                </c:pt>
                <c:pt idx="1">
                  <c:v>8.1999999999999993</c:v>
                </c:pt>
                <c:pt idx="2">
                  <c:v>6.3</c:v>
                </c:pt>
                <c:pt idx="3">
                  <c:v>8.6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91-4EC1-96FB-28D43A668C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056205"/>
        <c:axId val="910244532"/>
      </c:scatterChart>
      <c:valAx>
        <c:axId val="92305620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time (minute)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910244532"/>
        <c:crosses val="autoZero"/>
        <c:crossBetween val="midCat"/>
      </c:valAx>
      <c:valAx>
        <c:axId val="91024453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mgCl2/L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923056205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UV-Cl2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week2!$A$2:$A$5</c:f>
              <c:numCache>
                <c:formatCode>General</c:formatCode>
                <c:ptCount val="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</c:numCache>
            </c:numRef>
          </c:xVal>
          <c:yVal>
            <c:numRef>
              <c:f>week2!$J$2:$J$5</c:f>
              <c:numCache>
                <c:formatCode>0.00E+00</c:formatCode>
                <c:ptCount val="4"/>
                <c:pt idx="0">
                  <c:v>1</c:v>
                </c:pt>
                <c:pt idx="1">
                  <c:v>0.95319940982862339</c:v>
                </c:pt>
                <c:pt idx="2">
                  <c:v>0.70583815684939277</c:v>
                </c:pt>
                <c:pt idx="3">
                  <c:v>0.963985926682556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C6C-435E-8893-A59C47DE2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7749787"/>
        <c:axId val="1960784036"/>
      </c:scatterChart>
      <c:valAx>
        <c:axId val="85774978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time (minute)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960784036"/>
        <c:crosses val="autoZero"/>
        <c:crossBetween val="midCat"/>
      </c:valAx>
      <c:valAx>
        <c:axId val="19607840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dioxane C/C0</a:t>
                </a:r>
              </a:p>
            </c:rich>
          </c:tx>
          <c:overlay val="0"/>
        </c:title>
        <c:numFmt formatCode="0.00E+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857749787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dark Cl2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week2!$A$6:$A$9</c:f>
              <c:numCache>
                <c:formatCode>General</c:formatCode>
                <c:ptCount val="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</c:numCache>
            </c:numRef>
          </c:xVal>
          <c:yVal>
            <c:numRef>
              <c:f>week2!$J$6:$J$9</c:f>
              <c:numCache>
                <c:formatCode>0.00E+00</c:formatCode>
                <c:ptCount val="4"/>
                <c:pt idx="0">
                  <c:v>1</c:v>
                </c:pt>
                <c:pt idx="1">
                  <c:v>0.94321870389286122</c:v>
                </c:pt>
                <c:pt idx="2">
                  <c:v>0.9584144818976279</c:v>
                </c:pt>
                <c:pt idx="3">
                  <c:v>0.73061854500056744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1EC-4019-8203-24C89F8F2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2250473"/>
        <c:axId val="233947464"/>
      </c:scatterChart>
      <c:valAx>
        <c:axId val="209225047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time (minute)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233947464"/>
        <c:crosses val="autoZero"/>
        <c:crossBetween val="midCat"/>
      </c:valAx>
      <c:valAx>
        <c:axId val="2339474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dioxane C/C0</a:t>
                </a:r>
              </a:p>
            </c:rich>
          </c:tx>
          <c:overlay val="0"/>
        </c:title>
        <c:numFmt formatCode="0.00E+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2092250473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UV-Cl2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Cl2free (mgCl2/L)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'week2-2'!$B$2:$B$6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16</c:v>
                </c:pt>
                <c:pt idx="3">
                  <c:v>25</c:v>
                </c:pt>
                <c:pt idx="4">
                  <c:v>35</c:v>
                </c:pt>
              </c:numCache>
            </c:numRef>
          </c:xVal>
          <c:yVal>
            <c:numRef>
              <c:f>'week2-2'!$J$2:$J$6</c:f>
              <c:numCache>
                <c:formatCode>General</c:formatCode>
                <c:ptCount val="5"/>
                <c:pt idx="0">
                  <c:v>9.85</c:v>
                </c:pt>
                <c:pt idx="1">
                  <c:v>8.65</c:v>
                </c:pt>
                <c:pt idx="2">
                  <c:v>8.6</c:v>
                </c:pt>
                <c:pt idx="3">
                  <c:v>8.5500000000000007</c:v>
                </c:pt>
                <c:pt idx="4">
                  <c:v>7.35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9B-4F86-9A05-3823DBA70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3679679"/>
        <c:axId val="1713257151"/>
      </c:scatterChart>
      <c:valAx>
        <c:axId val="92367967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time (minute)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713257151"/>
        <c:crosses val="autoZero"/>
        <c:crossBetween val="midCat"/>
      </c:valAx>
      <c:valAx>
        <c:axId val="1713257151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mgCl2/L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923679679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dark Cl2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Cl2free (mgCl2/L)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'week2-2'!$B$12:$B$16</c:f>
              <c:numCache>
                <c:formatCode>General</c:formatCode>
                <c:ptCount val="5"/>
                <c:pt idx="0">
                  <c:v>0</c:v>
                </c:pt>
                <c:pt idx="1">
                  <c:v>4</c:v>
                </c:pt>
                <c:pt idx="2">
                  <c:v>16</c:v>
                </c:pt>
                <c:pt idx="3">
                  <c:v>25</c:v>
                </c:pt>
                <c:pt idx="4">
                  <c:v>35</c:v>
                </c:pt>
              </c:numCache>
            </c:numRef>
          </c:xVal>
          <c:yVal>
            <c:numRef>
              <c:f>'week2-2'!$J$12:$J$16</c:f>
              <c:numCache>
                <c:formatCode>General</c:formatCode>
                <c:ptCount val="5"/>
                <c:pt idx="0">
                  <c:v>9.85</c:v>
                </c:pt>
                <c:pt idx="1">
                  <c:v>9.6</c:v>
                </c:pt>
                <c:pt idx="2">
                  <c:v>9.4499999999999993</c:v>
                </c:pt>
                <c:pt idx="3">
                  <c:v>9.5</c:v>
                </c:pt>
                <c:pt idx="4">
                  <c:v>9.6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45-47A9-A079-59F6127912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7314131"/>
        <c:axId val="2001162843"/>
      </c:scatterChart>
      <c:valAx>
        <c:axId val="209731413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time (minute)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2001162843"/>
        <c:crosses val="autoZero"/>
        <c:crossBetween val="midCat"/>
      </c:valAx>
      <c:valAx>
        <c:axId val="2001162843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mgCl2/L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2097314131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UV-Cl2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'week2-2'!$B$2:$B$11</c:f>
              <c:numCache>
                <c:formatCode>General</c:formatCode>
                <c:ptCount val="10"/>
                <c:pt idx="0">
                  <c:v>0</c:v>
                </c:pt>
                <c:pt idx="1">
                  <c:v>4</c:v>
                </c:pt>
                <c:pt idx="2">
                  <c:v>16</c:v>
                </c:pt>
                <c:pt idx="3">
                  <c:v>25</c:v>
                </c:pt>
                <c:pt idx="4">
                  <c:v>35</c:v>
                </c:pt>
                <c:pt idx="5">
                  <c:v>0</c:v>
                </c:pt>
                <c:pt idx="6">
                  <c:v>4</c:v>
                </c:pt>
                <c:pt idx="7">
                  <c:v>16</c:v>
                </c:pt>
                <c:pt idx="8">
                  <c:v>25</c:v>
                </c:pt>
                <c:pt idx="9">
                  <c:v>35</c:v>
                </c:pt>
              </c:numCache>
            </c:numRef>
          </c:xVal>
          <c:yVal>
            <c:numRef>
              <c:f>'week2-2'!$M$2:$M$11</c:f>
              <c:numCache>
                <c:formatCode>General</c:formatCode>
                <c:ptCount val="10"/>
                <c:pt idx="0">
                  <c:v>1</c:v>
                </c:pt>
                <c:pt idx="2">
                  <c:v>1.0030874785591766</c:v>
                </c:pt>
                <c:pt idx="3">
                  <c:v>0.67467124070897655</c:v>
                </c:pt>
                <c:pt idx="4">
                  <c:v>0.55574614065180106</c:v>
                </c:pt>
                <c:pt idx="5">
                  <c:v>1</c:v>
                </c:pt>
                <c:pt idx="7">
                  <c:v>0.84619782732990279</c:v>
                </c:pt>
                <c:pt idx="8">
                  <c:v>0.8004574042309891</c:v>
                </c:pt>
                <c:pt idx="9">
                  <c:v>0.72041166380789023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5F9-4ACC-83C9-64F4266110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4631401"/>
        <c:axId val="2133095205"/>
      </c:scatterChart>
      <c:valAx>
        <c:axId val="202463140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time (minute)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2133095205"/>
        <c:crosses val="autoZero"/>
        <c:crossBetween val="midCat"/>
      </c:valAx>
      <c:valAx>
        <c:axId val="21330952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dioxane C/C0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2024631401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dark Cl2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'week2-2'!$B$12:$B$21</c:f>
              <c:numCache>
                <c:formatCode>General</c:formatCode>
                <c:ptCount val="10"/>
                <c:pt idx="0">
                  <c:v>0</c:v>
                </c:pt>
                <c:pt idx="1">
                  <c:v>4</c:v>
                </c:pt>
                <c:pt idx="2">
                  <c:v>16</c:v>
                </c:pt>
                <c:pt idx="3">
                  <c:v>25</c:v>
                </c:pt>
                <c:pt idx="4">
                  <c:v>35</c:v>
                </c:pt>
                <c:pt idx="5">
                  <c:v>0</c:v>
                </c:pt>
                <c:pt idx="6">
                  <c:v>4</c:v>
                </c:pt>
                <c:pt idx="7">
                  <c:v>16</c:v>
                </c:pt>
                <c:pt idx="8">
                  <c:v>25</c:v>
                </c:pt>
                <c:pt idx="9">
                  <c:v>35</c:v>
                </c:pt>
              </c:numCache>
            </c:numRef>
          </c:xVal>
          <c:yVal>
            <c:numRef>
              <c:f>'week2-2'!$M$12:$M$21</c:f>
              <c:numCache>
                <c:formatCode>General</c:formatCode>
                <c:ptCount val="10"/>
                <c:pt idx="0">
                  <c:v>1</c:v>
                </c:pt>
                <c:pt idx="2">
                  <c:v>1.0650657518582047</c:v>
                </c:pt>
                <c:pt idx="3">
                  <c:v>0.90337335620354486</c:v>
                </c:pt>
                <c:pt idx="4">
                  <c:v>0.74328187535734702</c:v>
                </c:pt>
                <c:pt idx="5">
                  <c:v>1</c:v>
                </c:pt>
                <c:pt idx="7">
                  <c:v>0.84962835906232126</c:v>
                </c:pt>
                <c:pt idx="8">
                  <c:v>0.86792452830188682</c:v>
                </c:pt>
                <c:pt idx="9">
                  <c:v>0.73870783304745558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D2F-4BC9-9CC6-5A14FA7319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2654273"/>
        <c:axId val="25610975"/>
      </c:scatterChart>
      <c:valAx>
        <c:axId val="152265427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time (minute)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25610975"/>
        <c:crosses val="autoZero"/>
        <c:crossBetween val="midCat"/>
      </c:valAx>
      <c:valAx>
        <c:axId val="256109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dioxane C/C0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522654273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UV-Cl2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Cl2free (mgCl2/L)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week3!$B$2:$B$5</c:f>
              <c:numCache>
                <c:formatCode>General</c:formatCode>
                <c:ptCount val="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</c:numCache>
            </c:numRef>
          </c:xVal>
          <c:yVal>
            <c:numRef>
              <c:f>week3!$J$2:$J$5</c:f>
              <c:numCache>
                <c:formatCode>General</c:formatCode>
                <c:ptCount val="4"/>
                <c:pt idx="0">
                  <c:v>9.75</c:v>
                </c:pt>
                <c:pt idx="1">
                  <c:v>5.8</c:v>
                </c:pt>
                <c:pt idx="2">
                  <c:v>5.5500000000000007</c:v>
                </c:pt>
                <c:pt idx="3">
                  <c:v>4.3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45-4414-AD4A-84AF0DD74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85174327"/>
        <c:axId val="2052542451"/>
      </c:scatterChart>
      <c:valAx>
        <c:axId val="208517432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time (minute)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2052542451"/>
        <c:crosses val="autoZero"/>
        <c:crossBetween val="midCat"/>
      </c:valAx>
      <c:valAx>
        <c:axId val="2052542451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mgCl2/L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2085174327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dark Cl2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Cl2free (mgCl2/L)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week3!$B$10:$B$13</c:f>
              <c:numCache>
                <c:formatCode>General</c:formatCode>
                <c:ptCount val="4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</c:numCache>
            </c:numRef>
          </c:xVal>
          <c:yVal>
            <c:numRef>
              <c:f>week3!$J$10:$J$13</c:f>
              <c:numCache>
                <c:formatCode>General</c:formatCode>
                <c:ptCount val="4"/>
                <c:pt idx="0">
                  <c:v>9.75</c:v>
                </c:pt>
                <c:pt idx="1">
                  <c:v>9.0500000000000007</c:v>
                </c:pt>
                <c:pt idx="2">
                  <c:v>8.9</c:v>
                </c:pt>
                <c:pt idx="3">
                  <c:v>8.85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CC-42F9-9865-8A4FB9793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35470330"/>
        <c:axId val="49622775"/>
      </c:scatterChart>
      <c:valAx>
        <c:axId val="103547033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time (minute)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49622775"/>
        <c:crosses val="autoZero"/>
        <c:crossBetween val="midCat"/>
      </c:valAx>
      <c:valAx>
        <c:axId val="49622775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mgCl2/L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035470330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UV-Cl2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week3!$B$2:$B$9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0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</c:numCache>
            </c:numRef>
          </c:xVal>
          <c:yVal>
            <c:numRef>
              <c:f>week3!$M$2:$M$9</c:f>
              <c:numCache>
                <c:formatCode>General</c:formatCode>
                <c:ptCount val="8"/>
                <c:pt idx="0">
                  <c:v>1</c:v>
                </c:pt>
                <c:pt idx="1">
                  <c:v>3.6893203883495145E-2</c:v>
                </c:pt>
                <c:pt idx="3">
                  <c:v>7.4682598954443615E-3</c:v>
                </c:pt>
                <c:pt idx="4">
                  <c:v>1</c:v>
                </c:pt>
                <c:pt idx="5">
                  <c:v>4.0477968633308437E-2</c:v>
                </c:pt>
                <c:pt idx="7">
                  <c:v>1.0306198655713219E-2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296-40AC-B8AD-2E8F599E5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0949910"/>
        <c:axId val="1617669095"/>
      </c:scatterChart>
      <c:valAx>
        <c:axId val="93094991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time (minute)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17669095"/>
        <c:crosses val="autoZero"/>
        <c:crossBetween val="midCat"/>
      </c:valAx>
      <c:valAx>
        <c:axId val="16176690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dioxane C/C0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930949910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dark Cl2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week3!$B$10:$B$17</c:f>
              <c:numCache>
                <c:formatCode>General</c:formatCode>
                <c:ptCount val="8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0</c:v>
                </c:pt>
                <c:pt idx="5">
                  <c:v>10</c:v>
                </c:pt>
                <c:pt idx="6">
                  <c:v>20</c:v>
                </c:pt>
                <c:pt idx="7">
                  <c:v>30</c:v>
                </c:pt>
              </c:numCache>
            </c:numRef>
          </c:xVal>
          <c:yVal>
            <c:numRef>
              <c:f>week3!$M$10:$M$17</c:f>
              <c:numCache>
                <c:formatCode>General</c:formatCode>
                <c:ptCount val="8"/>
                <c:pt idx="0">
                  <c:v>1</c:v>
                </c:pt>
                <c:pt idx="1">
                  <c:v>0.49917849141150111</c:v>
                </c:pt>
                <c:pt idx="3">
                  <c:v>0.74324122479462285</c:v>
                </c:pt>
                <c:pt idx="4">
                  <c:v>1</c:v>
                </c:pt>
                <c:pt idx="5">
                  <c:v>0.50186706497386113</c:v>
                </c:pt>
                <c:pt idx="7">
                  <c:v>0.4957430918595967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A59-432E-92ED-4A5BBFF7A6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4943272"/>
        <c:axId val="1466396815"/>
      </c:scatterChart>
      <c:valAx>
        <c:axId val="22494327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time (minute)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466396815"/>
        <c:crosses val="autoZero"/>
        <c:crossBetween val="midCat"/>
      </c:valAx>
      <c:valAx>
        <c:axId val="14663968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dioxane C/C0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224943272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UV-Cl2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Cl2free (mgCl2/L)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'week3-2'!$B$2:$B$8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'week3-2'!$J$2:$J$8</c:f>
              <c:numCache>
                <c:formatCode>General</c:formatCode>
                <c:ptCount val="7"/>
                <c:pt idx="0">
                  <c:v>7.8500000000000005</c:v>
                </c:pt>
                <c:pt idx="1">
                  <c:v>5.25</c:v>
                </c:pt>
                <c:pt idx="2">
                  <c:v>4.8499999999999996</c:v>
                </c:pt>
                <c:pt idx="3">
                  <c:v>4.45</c:v>
                </c:pt>
                <c:pt idx="4">
                  <c:v>4</c:v>
                </c:pt>
                <c:pt idx="5">
                  <c:v>3.5999999999999996</c:v>
                </c:pt>
                <c:pt idx="6">
                  <c:v>3.25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A23-43B8-87E5-0730FC9081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9039144"/>
        <c:axId val="642778892"/>
      </c:scatterChart>
      <c:valAx>
        <c:axId val="77903914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time (minute)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642778892"/>
        <c:crosses val="autoZero"/>
        <c:crossBetween val="midCat"/>
      </c:valAx>
      <c:valAx>
        <c:axId val="642778892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mgCl2/L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779039144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dark Cl2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Cl2free (mgCl2/L)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'week3-2'!$B$9:$B$15</c:f>
              <c:numCache>
                <c:formatCode>General</c:formatCode>
                <c:ptCount val="7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</c:numCache>
            </c:numRef>
          </c:xVal>
          <c:yVal>
            <c:numRef>
              <c:f>'week3-2'!$J$9:$J$15</c:f>
              <c:numCache>
                <c:formatCode>General</c:formatCode>
                <c:ptCount val="7"/>
                <c:pt idx="0">
                  <c:v>7.8500000000000005</c:v>
                </c:pt>
                <c:pt idx="1">
                  <c:v>7.65</c:v>
                </c:pt>
                <c:pt idx="2">
                  <c:v>7.7</c:v>
                </c:pt>
                <c:pt idx="3">
                  <c:v>7.6</c:v>
                </c:pt>
                <c:pt idx="4">
                  <c:v>7.65</c:v>
                </c:pt>
                <c:pt idx="5">
                  <c:v>7.8000000000000007</c:v>
                </c:pt>
                <c:pt idx="6">
                  <c:v>7.8000000000000007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52-4BBB-BD2C-B99D058B34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8925961"/>
        <c:axId val="1523524611"/>
      </c:scatterChart>
      <c:valAx>
        <c:axId val="57892596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time (minute)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523524611"/>
        <c:crosses val="autoZero"/>
        <c:crossBetween val="midCat"/>
      </c:valAx>
      <c:valAx>
        <c:axId val="1523524611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mgCl2/L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78925961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fr-F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UV-Cl2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2045130772"/>
        <c:axId val="1225869367"/>
      </c:scatterChart>
      <c:valAx>
        <c:axId val="204513077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time (minute)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225869367"/>
        <c:crosses val="autoZero"/>
        <c:crossBetween val="midCat"/>
      </c:valAx>
      <c:valAx>
        <c:axId val="1225869367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2045130772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fr-F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dark Cl2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559096457"/>
        <c:axId val="1313398368"/>
      </c:scatterChart>
      <c:valAx>
        <c:axId val="55909645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time (minute)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313398368"/>
        <c:crosses val="autoZero"/>
        <c:crossBetween val="midCat"/>
      </c:valAx>
      <c:valAx>
        <c:axId val="1313398368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559096457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UV-Cl2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Cl2free (mgCl2/L)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Expon. (Cl2free (mgCl2/L))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exp"/>
            <c:dispRSqr val="0"/>
            <c:dispEq val="0"/>
          </c:trendline>
          <c:xVal>
            <c:numRef>
              <c:f>week4reox!$C$8:$C$31</c:f>
              <c:numCache>
                <c:formatCode>General</c:formatCode>
                <c:ptCount val="24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0</c:v>
                </c:pt>
                <c:pt idx="7">
                  <c:v>2</c:v>
                </c:pt>
                <c:pt idx="8">
                  <c:v>4</c:v>
                </c:pt>
                <c:pt idx="9">
                  <c:v>6</c:v>
                </c:pt>
                <c:pt idx="10">
                  <c:v>8</c:v>
                </c:pt>
                <c:pt idx="11">
                  <c:v>10</c:v>
                </c:pt>
                <c:pt idx="12">
                  <c:v>0</c:v>
                </c:pt>
                <c:pt idx="13">
                  <c:v>2</c:v>
                </c:pt>
                <c:pt idx="14">
                  <c:v>4</c:v>
                </c:pt>
                <c:pt idx="15">
                  <c:v>6</c:v>
                </c:pt>
                <c:pt idx="16">
                  <c:v>8</c:v>
                </c:pt>
                <c:pt idx="17">
                  <c:v>10</c:v>
                </c:pt>
                <c:pt idx="18">
                  <c:v>0</c:v>
                </c:pt>
                <c:pt idx="19">
                  <c:v>2</c:v>
                </c:pt>
                <c:pt idx="20">
                  <c:v>4</c:v>
                </c:pt>
                <c:pt idx="21">
                  <c:v>6</c:v>
                </c:pt>
                <c:pt idx="22">
                  <c:v>8</c:v>
                </c:pt>
                <c:pt idx="23">
                  <c:v>10</c:v>
                </c:pt>
              </c:numCache>
            </c:numRef>
          </c:xVal>
          <c:yVal>
            <c:numRef>
              <c:f>week4reox!$K$8:$K$31</c:f>
              <c:numCache>
                <c:formatCode>General</c:formatCode>
                <c:ptCount val="24"/>
                <c:pt idx="0">
                  <c:v>8.1</c:v>
                </c:pt>
                <c:pt idx="1">
                  <c:v>5.4</c:v>
                </c:pt>
                <c:pt idx="2">
                  <c:v>3</c:v>
                </c:pt>
                <c:pt idx="3">
                  <c:v>1.5</c:v>
                </c:pt>
                <c:pt idx="4">
                  <c:v>0.7</c:v>
                </c:pt>
                <c:pt idx="5">
                  <c:v>0.25</c:v>
                </c:pt>
                <c:pt idx="6">
                  <c:v>8.5</c:v>
                </c:pt>
                <c:pt idx="7">
                  <c:v>5</c:v>
                </c:pt>
                <c:pt idx="8">
                  <c:v>3.8</c:v>
                </c:pt>
                <c:pt idx="9">
                  <c:v>2.3499999999999996</c:v>
                </c:pt>
                <c:pt idx="10">
                  <c:v>1.3</c:v>
                </c:pt>
                <c:pt idx="11">
                  <c:v>0.75</c:v>
                </c:pt>
                <c:pt idx="12">
                  <c:v>8.6</c:v>
                </c:pt>
                <c:pt idx="13">
                  <c:v>5.8999999999999995</c:v>
                </c:pt>
                <c:pt idx="14">
                  <c:v>3.8</c:v>
                </c:pt>
                <c:pt idx="15">
                  <c:v>2.3000000000000003</c:v>
                </c:pt>
                <c:pt idx="16">
                  <c:v>1.45</c:v>
                </c:pt>
                <c:pt idx="17">
                  <c:v>0.8</c:v>
                </c:pt>
                <c:pt idx="18">
                  <c:v>8.6</c:v>
                </c:pt>
                <c:pt idx="19">
                  <c:v>5.2</c:v>
                </c:pt>
                <c:pt idx="20">
                  <c:v>2.6</c:v>
                </c:pt>
                <c:pt idx="21">
                  <c:v>1.7000000000000002</c:v>
                </c:pt>
                <c:pt idx="22">
                  <c:v>0.85000000000000009</c:v>
                </c:pt>
                <c:pt idx="23">
                  <c:v>0.4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36-4F58-9AF9-2D941F12E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9818786"/>
        <c:axId val="1122689372"/>
      </c:scatterChart>
      <c:valAx>
        <c:axId val="160981878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time (minute)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22689372"/>
        <c:crosses val="autoZero"/>
        <c:crossBetween val="midCat"/>
      </c:valAx>
      <c:valAx>
        <c:axId val="1122689372"/>
        <c:scaling>
          <c:orientation val="minMax"/>
          <c:max val="1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mgCl2/L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9818786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UV-Cl2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week4reox!$C$14:$C$19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</c:numCache>
            </c:numRef>
          </c:xVal>
          <c:yVal>
            <c:numRef>
              <c:f>week4reox!$N$14:$N$19</c:f>
              <c:numCache>
                <c:formatCode>General</c:formatCode>
                <c:ptCount val="6"/>
                <c:pt idx="0">
                  <c:v>1</c:v>
                </c:pt>
                <c:pt idx="1">
                  <c:v>0.7508765219608593</c:v>
                </c:pt>
                <c:pt idx="2">
                  <c:v>0.82484435094876862</c:v>
                </c:pt>
                <c:pt idx="3">
                  <c:v>0.78427997705106134</c:v>
                </c:pt>
                <c:pt idx="4">
                  <c:v>0.44567688744395573</c:v>
                </c:pt>
                <c:pt idx="5">
                  <c:v>0.50687405707486033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C47-42E9-95FD-14D3FFC7B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900314"/>
        <c:axId val="1155071130"/>
      </c:scatterChart>
      <c:valAx>
        <c:axId val="5790031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time (minute)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55071130"/>
        <c:crosses val="autoZero"/>
        <c:crossBetween val="midCat"/>
      </c:valAx>
      <c:valAx>
        <c:axId val="11550711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dioxane C/C0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7900314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fr-F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dark Cl2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09356086"/>
        <c:axId val="2053785023"/>
      </c:scatterChart>
      <c:valAx>
        <c:axId val="10935608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time (minute)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2053785023"/>
        <c:crosses val="autoZero"/>
        <c:crossBetween val="midCat"/>
      </c:valAx>
      <c:valAx>
        <c:axId val="2053785023"/>
        <c:scaling>
          <c:orientation val="minMax"/>
        </c:scaling>
        <c:delete val="0"/>
        <c:axPos val="l"/>
        <c:majorTickMark val="cross"/>
        <c:minorTickMark val="cross"/>
        <c:tickLblPos val="nextTo"/>
        <c:spPr>
          <a:ln>
            <a:noFill/>
          </a:ln>
        </c:spPr>
        <c:crossAx val="109356086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UV-Cl2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week4reox!$C$20:$C$25</c:f>
              <c:numCache>
                <c:formatCode>General</c:formatCode>
                <c:ptCount val="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</c:numCache>
            </c:numRef>
          </c:xVal>
          <c:yVal>
            <c:numRef>
              <c:f>week4reox!$N$20:$N$25</c:f>
              <c:numCache>
                <c:formatCode>General</c:formatCode>
                <c:ptCount val="6"/>
                <c:pt idx="0">
                  <c:v>2.5633051009014407</c:v>
                </c:pt>
                <c:pt idx="1">
                  <c:v>1.9247256188894033</c:v>
                </c:pt>
                <c:pt idx="2">
                  <c:v>2.1143277322367169</c:v>
                </c:pt>
                <c:pt idx="3">
                  <c:v>2.0103488657098505</c:v>
                </c:pt>
                <c:pt idx="4">
                  <c:v>1.1424058389389689</c:v>
                </c:pt>
                <c:pt idx="5">
                  <c:v>1.2992728560145974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C-44C1-90AA-0EE9DA2A52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233257"/>
        <c:axId val="841005303"/>
      </c:scatterChart>
      <c:valAx>
        <c:axId val="187123325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time (minute)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841005303"/>
        <c:crosses val="autoZero"/>
        <c:crossBetween val="midCat"/>
      </c:valAx>
      <c:valAx>
        <c:axId val="8410053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dioxane C/C0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871233257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Dioxane decay in C/C0
(C0 meeasured from mixed reactor)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experiment2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'dioxane analysis'!$A$8:$A$19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0</c:v>
                </c:pt>
                <c:pt idx="7">
                  <c:v>2</c:v>
                </c:pt>
                <c:pt idx="8">
                  <c:v>4</c:v>
                </c:pt>
                <c:pt idx="9">
                  <c:v>6</c:v>
                </c:pt>
                <c:pt idx="10">
                  <c:v>8</c:v>
                </c:pt>
                <c:pt idx="11">
                  <c:v>10</c:v>
                </c:pt>
              </c:numCache>
            </c:numRef>
          </c:xVal>
          <c:yVal>
            <c:numRef>
              <c:f>'dioxane analysis'!$K$8:$K$19</c:f>
              <c:numCache>
                <c:formatCode>General</c:formatCode>
                <c:ptCount val="12"/>
                <c:pt idx="1">
                  <c:v>0.47876011938141461</c:v>
                </c:pt>
                <c:pt idx="2">
                  <c:v>0.40914856061090765</c:v>
                </c:pt>
                <c:pt idx="3">
                  <c:v>0.3482685554924107</c:v>
                </c:pt>
                <c:pt idx="4">
                  <c:v>0.31575104534009779</c:v>
                </c:pt>
                <c:pt idx="6">
                  <c:v>0.51053243659273695</c:v>
                </c:pt>
                <c:pt idx="7">
                  <c:v>0.41979202342465083</c:v>
                </c:pt>
                <c:pt idx="9">
                  <c:v>0.33121568066600676</c:v>
                </c:pt>
                <c:pt idx="10">
                  <c:v>0.30242413521864636</c:v>
                </c:pt>
                <c:pt idx="11">
                  <c:v>0.31296221721245149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48-4A99-9843-3F9CBE648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4833342"/>
        <c:axId val="1344920856"/>
      </c:scatterChart>
      <c:valAx>
        <c:axId val="161483334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Time(minute)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344920856"/>
        <c:crosses val="autoZero"/>
        <c:crossBetween val="midCat"/>
      </c:valAx>
      <c:valAx>
        <c:axId val="13449208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C/C0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14833342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Dioxane decay in GC-MS Area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experiment2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'dioxane analysis'!$A$8:$A$19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0</c:v>
                </c:pt>
                <c:pt idx="7">
                  <c:v>2</c:v>
                </c:pt>
                <c:pt idx="8">
                  <c:v>4</c:v>
                </c:pt>
                <c:pt idx="9">
                  <c:v>6</c:v>
                </c:pt>
                <c:pt idx="10">
                  <c:v>8</c:v>
                </c:pt>
                <c:pt idx="11">
                  <c:v>10</c:v>
                </c:pt>
              </c:numCache>
            </c:numRef>
          </c:xVal>
          <c:yVal>
            <c:numRef>
              <c:f>'dioxane analysis'!$J$8:$J$19</c:f>
              <c:numCache>
                <c:formatCode>General</c:formatCode>
                <c:ptCount val="12"/>
                <c:pt idx="0">
                  <c:v>9589</c:v>
                </c:pt>
                <c:pt idx="1">
                  <c:v>31802</c:v>
                </c:pt>
                <c:pt idx="2">
                  <c:v>27178</c:v>
                </c:pt>
                <c:pt idx="3">
                  <c:v>23134</c:v>
                </c:pt>
                <c:pt idx="4">
                  <c:v>20974</c:v>
                </c:pt>
                <c:pt idx="5">
                  <c:v>4967</c:v>
                </c:pt>
                <c:pt idx="6">
                  <c:v>33912.5</c:v>
                </c:pt>
                <c:pt idx="7">
                  <c:v>27885</c:v>
                </c:pt>
                <c:pt idx="8">
                  <c:v>46136.25</c:v>
                </c:pt>
                <c:pt idx="9">
                  <c:v>22001.25</c:v>
                </c:pt>
                <c:pt idx="10">
                  <c:v>20088.75</c:v>
                </c:pt>
                <c:pt idx="11">
                  <c:v>20788.75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FA-49EE-81FC-A48961656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57191837"/>
        <c:axId val="1728849157"/>
      </c:scatterChart>
      <c:valAx>
        <c:axId val="135719183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Time(minute)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728849157"/>
        <c:crosses val="autoZero"/>
        <c:crossBetween val="midCat"/>
      </c:valAx>
      <c:valAx>
        <c:axId val="17288491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Area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357191837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Dioxane decay in C/C0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experiment2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name>Expon. (experiment2)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exp"/>
            <c:dispRSqr val="0"/>
            <c:dispEq val="0"/>
          </c:trendline>
          <c:xVal>
            <c:numRef>
              <c:f>'dioxane analysis'!$A$8:$A$19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0</c:v>
                </c:pt>
                <c:pt idx="7">
                  <c:v>2</c:v>
                </c:pt>
                <c:pt idx="8">
                  <c:v>4</c:v>
                </c:pt>
                <c:pt idx="9">
                  <c:v>6</c:v>
                </c:pt>
                <c:pt idx="10">
                  <c:v>8</c:v>
                </c:pt>
                <c:pt idx="11">
                  <c:v>10</c:v>
                </c:pt>
              </c:numCache>
            </c:numRef>
          </c:xVal>
          <c:yVal>
            <c:numRef>
              <c:f>'dioxane analysis'!$K$8:$K$19</c:f>
              <c:numCache>
                <c:formatCode>General</c:formatCode>
                <c:ptCount val="12"/>
                <c:pt idx="1">
                  <c:v>0.47876011938141461</c:v>
                </c:pt>
                <c:pt idx="2">
                  <c:v>0.40914856061090765</c:v>
                </c:pt>
                <c:pt idx="3">
                  <c:v>0.3482685554924107</c:v>
                </c:pt>
                <c:pt idx="4">
                  <c:v>0.31575104534009779</c:v>
                </c:pt>
                <c:pt idx="6">
                  <c:v>0.51053243659273695</c:v>
                </c:pt>
                <c:pt idx="7">
                  <c:v>0.41979202342465083</c:v>
                </c:pt>
                <c:pt idx="9">
                  <c:v>0.33121568066600676</c:v>
                </c:pt>
                <c:pt idx="10">
                  <c:v>0.30242413521864636</c:v>
                </c:pt>
                <c:pt idx="11">
                  <c:v>0.31296221721245149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E51-4BC8-B4C6-339CE240B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352990"/>
        <c:axId val="1190956028"/>
      </c:scatterChart>
      <c:valAx>
        <c:axId val="66835299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Time(minute)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90956028"/>
        <c:crosses val="autoZero"/>
        <c:crossBetween val="midCat"/>
      </c:valAx>
      <c:valAx>
        <c:axId val="1190956028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C/C0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668352990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dioxane decay in UV-Cl2 Reox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analytical replicate 1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Expon. (analytical replicate 1)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exp"/>
            <c:dispRSqr val="0"/>
            <c:dispEq val="0"/>
          </c:trendline>
          <c:xVal>
            <c:numRef>
              <c:f>week5reox!$A$2:$A$9</c:f>
              <c:numCache>
                <c:formatCode>General</c:formatCode>
                <c:ptCount val="8"/>
                <c:pt idx="0">
                  <c:v>0</c:v>
                </c:pt>
                <c:pt idx="1">
                  <c:v>0.43</c:v>
                </c:pt>
                <c:pt idx="2">
                  <c:v>0.66</c:v>
                </c:pt>
                <c:pt idx="3">
                  <c:v>1</c:v>
                </c:pt>
                <c:pt idx="4">
                  <c:v>1.33</c:v>
                </c:pt>
                <c:pt idx="5">
                  <c:v>1.76</c:v>
                </c:pt>
                <c:pt idx="6">
                  <c:v>2</c:v>
                </c:pt>
                <c:pt idx="7">
                  <c:v>4</c:v>
                </c:pt>
              </c:numCache>
            </c:numRef>
          </c:xVal>
          <c:yVal>
            <c:numRef>
              <c:f>week5reox!$N$2:$N$8</c:f>
              <c:numCache>
                <c:formatCode>General</c:formatCode>
                <c:ptCount val="7"/>
                <c:pt idx="0">
                  <c:v>1</c:v>
                </c:pt>
                <c:pt idx="1">
                  <c:v>0.65583292140385563</c:v>
                </c:pt>
                <c:pt idx="2">
                  <c:v>0.47009391992090954</c:v>
                </c:pt>
                <c:pt idx="3">
                  <c:v>0.26297577854671284</c:v>
                </c:pt>
                <c:pt idx="4">
                  <c:v>0.13914977755808206</c:v>
                </c:pt>
                <c:pt idx="5">
                  <c:v>3.9050914483440433E-2</c:v>
                </c:pt>
                <c:pt idx="6">
                  <c:v>3.7753336628769153E-2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F70-4181-A406-0FE762724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9084077"/>
        <c:axId val="1280502754"/>
      </c:scatterChart>
      <c:valAx>
        <c:axId val="160908407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time (minutes)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280502754"/>
        <c:crosses val="autoZero"/>
        <c:crossBetween val="midCat"/>
      </c:valAx>
      <c:valAx>
        <c:axId val="12805027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dioxane C/C0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09084077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Cl2free C/C0 in UV-Cl2 Reox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Cl2free C/C0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Expon. (Cl2free C/C0)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exp"/>
            <c:dispRSqr val="0"/>
            <c:dispEq val="0"/>
          </c:trendline>
          <c:xVal>
            <c:numRef>
              <c:f>week5reox!$A$2:$A$8</c:f>
              <c:numCache>
                <c:formatCode>General</c:formatCode>
                <c:ptCount val="7"/>
                <c:pt idx="0">
                  <c:v>0</c:v>
                </c:pt>
                <c:pt idx="1">
                  <c:v>0.43</c:v>
                </c:pt>
                <c:pt idx="2">
                  <c:v>0.66</c:v>
                </c:pt>
                <c:pt idx="3">
                  <c:v>1</c:v>
                </c:pt>
                <c:pt idx="4">
                  <c:v>1.33</c:v>
                </c:pt>
                <c:pt idx="5">
                  <c:v>1.76</c:v>
                </c:pt>
                <c:pt idx="6">
                  <c:v>2</c:v>
                </c:pt>
              </c:numCache>
            </c:numRef>
          </c:xVal>
          <c:yVal>
            <c:numRef>
              <c:f>week5reox!$I$2:$I$12</c:f>
              <c:numCache>
                <c:formatCode>General</c:formatCode>
                <c:ptCount val="11"/>
                <c:pt idx="0">
                  <c:v>0.99999999999999978</c:v>
                </c:pt>
                <c:pt idx="1">
                  <c:v>0.95180722891566261</c:v>
                </c:pt>
                <c:pt idx="2">
                  <c:v>0.87951807228915657</c:v>
                </c:pt>
                <c:pt idx="3">
                  <c:v>0.8012048192771084</c:v>
                </c:pt>
                <c:pt idx="4">
                  <c:v>0.74096385542168675</c:v>
                </c:pt>
                <c:pt idx="5">
                  <c:v>0.6506024096385542</c:v>
                </c:pt>
                <c:pt idx="6">
                  <c:v>0.60240963855421681</c:v>
                </c:pt>
                <c:pt idx="7">
                  <c:v>0.31325301204819278</c:v>
                </c:pt>
                <c:pt idx="8">
                  <c:v>0.15662650602409639</c:v>
                </c:pt>
                <c:pt idx="9">
                  <c:v>7.8313253012048195E-2</c:v>
                </c:pt>
                <c:pt idx="10">
                  <c:v>3.012048192771084E-2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682-4F8F-90FC-9065A4689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61642561"/>
        <c:axId val="893571840"/>
      </c:scatterChart>
      <c:valAx>
        <c:axId val="26164256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time (minute)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893571840"/>
        <c:crosses val="autoZero"/>
        <c:crossBetween val="midCat"/>
      </c:valAx>
      <c:valAx>
        <c:axId val="8935718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Cl2free C/C0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261642561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dioxane decay in UV-Cl2 Reox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exp"/>
            <c:dispRSqr val="0"/>
            <c:dispEq val="0"/>
          </c:trendline>
          <c:xVal>
            <c:numRef>
              <c:f>week6CBD!$A$2:$A$21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0</c:v>
                </c:pt>
                <c:pt idx="6">
                  <c:v>5</c:v>
                </c:pt>
                <c:pt idx="7">
                  <c:v>10</c:v>
                </c:pt>
                <c:pt idx="8">
                  <c:v>20</c:v>
                </c:pt>
                <c:pt idx="9">
                  <c:v>30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20</c:v>
                </c:pt>
                <c:pt idx="14">
                  <c:v>30</c:v>
                </c:pt>
                <c:pt idx="15">
                  <c:v>0</c:v>
                </c:pt>
                <c:pt idx="16">
                  <c:v>5</c:v>
                </c:pt>
                <c:pt idx="17">
                  <c:v>10</c:v>
                </c:pt>
                <c:pt idx="18">
                  <c:v>20</c:v>
                </c:pt>
                <c:pt idx="19">
                  <c:v>30</c:v>
                </c:pt>
              </c:numCache>
            </c:numRef>
          </c:xVal>
          <c:yVal>
            <c:numRef>
              <c:f>week6CBD!$N$2:$N$21</c:f>
              <c:numCache>
                <c:formatCode>General</c:formatCode>
                <c:ptCount val="20"/>
                <c:pt idx="0">
                  <c:v>1</c:v>
                </c:pt>
                <c:pt idx="1">
                  <c:v>1.0002556890820762</c:v>
                </c:pt>
                <c:pt idx="2">
                  <c:v>0.78828944004091017</c:v>
                </c:pt>
                <c:pt idx="3">
                  <c:v>0.59422142674507794</c:v>
                </c:pt>
                <c:pt idx="4">
                  <c:v>0.29813346970084376</c:v>
                </c:pt>
                <c:pt idx="5">
                  <c:v>1</c:v>
                </c:pt>
                <c:pt idx="6">
                  <c:v>1.0821559392987965</c:v>
                </c:pt>
                <c:pt idx="7">
                  <c:v>0.83150183150183155</c:v>
                </c:pt>
                <c:pt idx="8">
                  <c:v>0.59863945578231292</c:v>
                </c:pt>
                <c:pt idx="9">
                  <c:v>0.23731030873888018</c:v>
                </c:pt>
                <c:pt idx="10">
                  <c:v>1</c:v>
                </c:pt>
                <c:pt idx="11">
                  <c:v>0.87387008618877449</c:v>
                </c:pt>
                <c:pt idx="12">
                  <c:v>0.81311751103636742</c:v>
                </c:pt>
                <c:pt idx="13">
                  <c:v>0.58082825310069364</c:v>
                </c:pt>
                <c:pt idx="14">
                  <c:v>0.49106579777170484</c:v>
                </c:pt>
                <c:pt idx="15">
                  <c:v>1</c:v>
                </c:pt>
                <c:pt idx="16">
                  <c:v>0.86530172413793105</c:v>
                </c:pt>
                <c:pt idx="17">
                  <c:v>0.74407327586206895</c:v>
                </c:pt>
                <c:pt idx="18">
                  <c:v>0.5001795977011495</c:v>
                </c:pt>
                <c:pt idx="19">
                  <c:v>0.41648706896551729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B6-4BD0-85A5-919F0BC70A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040813"/>
        <c:axId val="1271426576"/>
      </c:scatterChart>
      <c:valAx>
        <c:axId val="41104081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time (minutes)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271426576"/>
        <c:crosses val="autoZero"/>
        <c:crossBetween val="midCat"/>
      </c:valAx>
      <c:valAx>
        <c:axId val="12714265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dioxane C/C0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411040813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Cl2free C/C0 in UV-Cl2 Reox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Cl2free C/C0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Expon. (Cl2free C/C0)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exp"/>
            <c:dispRSqr val="0"/>
            <c:dispEq val="0"/>
          </c:trendline>
          <c:xVal>
            <c:numRef>
              <c:f>week6CBD!$A$2:$A$21</c:f>
              <c:numCache>
                <c:formatCode>General</c:formatCode>
                <c:ptCount val="20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  <c:pt idx="4">
                  <c:v>30</c:v>
                </c:pt>
                <c:pt idx="5">
                  <c:v>0</c:v>
                </c:pt>
                <c:pt idx="6">
                  <c:v>5</c:v>
                </c:pt>
                <c:pt idx="7">
                  <c:v>10</c:v>
                </c:pt>
                <c:pt idx="8">
                  <c:v>20</c:v>
                </c:pt>
                <c:pt idx="9">
                  <c:v>30</c:v>
                </c:pt>
                <c:pt idx="10">
                  <c:v>0</c:v>
                </c:pt>
                <c:pt idx="11">
                  <c:v>5</c:v>
                </c:pt>
                <c:pt idx="12">
                  <c:v>10</c:v>
                </c:pt>
                <c:pt idx="13">
                  <c:v>20</c:v>
                </c:pt>
                <c:pt idx="14">
                  <c:v>30</c:v>
                </c:pt>
                <c:pt idx="15">
                  <c:v>0</c:v>
                </c:pt>
                <c:pt idx="16">
                  <c:v>5</c:v>
                </c:pt>
                <c:pt idx="17">
                  <c:v>10</c:v>
                </c:pt>
                <c:pt idx="18">
                  <c:v>20</c:v>
                </c:pt>
                <c:pt idx="19">
                  <c:v>30</c:v>
                </c:pt>
              </c:numCache>
            </c:numRef>
          </c:xVal>
          <c:yVal>
            <c:numRef>
              <c:f>week6CBD!$I$2:$I$21</c:f>
              <c:numCache>
                <c:formatCode>General</c:formatCode>
                <c:ptCount val="20"/>
                <c:pt idx="0">
                  <c:v>1</c:v>
                </c:pt>
                <c:pt idx="1">
                  <c:v>0.96449704142011827</c:v>
                </c:pt>
                <c:pt idx="2">
                  <c:v>0.88757396449704151</c:v>
                </c:pt>
                <c:pt idx="3">
                  <c:v>0.8224852071005917</c:v>
                </c:pt>
                <c:pt idx="4">
                  <c:v>0.72189349112426038</c:v>
                </c:pt>
                <c:pt idx="10">
                  <c:v>1</c:v>
                </c:pt>
                <c:pt idx="11">
                  <c:v>0.95121951219512213</c:v>
                </c:pt>
                <c:pt idx="12">
                  <c:v>0.90243902439024404</c:v>
                </c:pt>
                <c:pt idx="13">
                  <c:v>0.87195121951219512</c:v>
                </c:pt>
                <c:pt idx="14">
                  <c:v>0.75000000000000011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903-438F-98B6-93926F7BA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4240177"/>
        <c:axId val="1657440989"/>
      </c:scatterChart>
      <c:valAx>
        <c:axId val="92424017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time (minute)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657440989"/>
        <c:crosses val="autoZero"/>
        <c:crossBetween val="midCat"/>
      </c:valAx>
      <c:valAx>
        <c:axId val="16574409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Cl2free C/C0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924240177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dioxane decay in UV-Cl2 Reox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exp"/>
            <c:dispRSqr val="1"/>
            <c:dispEq val="0"/>
            <c:trendlineLbl>
              <c:numFmt formatCode="General" sourceLinked="0"/>
            </c:trendlineLbl>
          </c:trendline>
          <c:xVal>
            <c:numRef>
              <c:f>week6reox!$A$2:$A$29</c:f>
              <c:numCache>
                <c:formatCode>General</c:formatCode>
                <c:ptCount val="28"/>
                <c:pt idx="0">
                  <c:v>0</c:v>
                </c:pt>
                <c:pt idx="1">
                  <c:v>0.43</c:v>
                </c:pt>
                <c:pt idx="2">
                  <c:v>0.66</c:v>
                </c:pt>
                <c:pt idx="3">
                  <c:v>1</c:v>
                </c:pt>
                <c:pt idx="4">
                  <c:v>1.33</c:v>
                </c:pt>
                <c:pt idx="5">
                  <c:v>1.76</c:v>
                </c:pt>
                <c:pt idx="6">
                  <c:v>2</c:v>
                </c:pt>
                <c:pt idx="7">
                  <c:v>0</c:v>
                </c:pt>
                <c:pt idx="8">
                  <c:v>0.43</c:v>
                </c:pt>
                <c:pt idx="9">
                  <c:v>0.66</c:v>
                </c:pt>
                <c:pt idx="10">
                  <c:v>1</c:v>
                </c:pt>
                <c:pt idx="11">
                  <c:v>1.33</c:v>
                </c:pt>
                <c:pt idx="12">
                  <c:v>1.76</c:v>
                </c:pt>
                <c:pt idx="13">
                  <c:v>2</c:v>
                </c:pt>
                <c:pt idx="14">
                  <c:v>0</c:v>
                </c:pt>
                <c:pt idx="15">
                  <c:v>0.43</c:v>
                </c:pt>
                <c:pt idx="16">
                  <c:v>0.66</c:v>
                </c:pt>
                <c:pt idx="17">
                  <c:v>1</c:v>
                </c:pt>
                <c:pt idx="18">
                  <c:v>1.33</c:v>
                </c:pt>
                <c:pt idx="19">
                  <c:v>1.76</c:v>
                </c:pt>
                <c:pt idx="20">
                  <c:v>2</c:v>
                </c:pt>
                <c:pt idx="21">
                  <c:v>0</c:v>
                </c:pt>
                <c:pt idx="22">
                  <c:v>0.43</c:v>
                </c:pt>
                <c:pt idx="23">
                  <c:v>0.66</c:v>
                </c:pt>
                <c:pt idx="24">
                  <c:v>1</c:v>
                </c:pt>
                <c:pt idx="25">
                  <c:v>1.33</c:v>
                </c:pt>
                <c:pt idx="26">
                  <c:v>1.76</c:v>
                </c:pt>
                <c:pt idx="27">
                  <c:v>2</c:v>
                </c:pt>
              </c:numCache>
            </c:numRef>
          </c:xVal>
          <c:yVal>
            <c:numRef>
              <c:f>week6reox!$N$2:$N$29</c:f>
              <c:numCache>
                <c:formatCode>General</c:formatCode>
                <c:ptCount val="28"/>
                <c:pt idx="0">
                  <c:v>1</c:v>
                </c:pt>
                <c:pt idx="1">
                  <c:v>0.88391149959027593</c:v>
                </c:pt>
                <c:pt idx="2">
                  <c:v>0.60202130565419287</c:v>
                </c:pt>
                <c:pt idx="3">
                  <c:v>0.3430756623873259</c:v>
                </c:pt>
                <c:pt idx="4">
                  <c:v>0.24911226440863152</c:v>
                </c:pt>
                <c:pt idx="5">
                  <c:v>0.11881999453701174</c:v>
                </c:pt>
                <c:pt idx="6">
                  <c:v>0.11772739688609668</c:v>
                </c:pt>
                <c:pt idx="7">
                  <c:v>1</c:v>
                </c:pt>
                <c:pt idx="8">
                  <c:v>0.94541231126596992</c:v>
                </c:pt>
                <c:pt idx="9">
                  <c:v>0.63095238095238104</c:v>
                </c:pt>
                <c:pt idx="10">
                  <c:v>0.33594657375145182</c:v>
                </c:pt>
                <c:pt idx="11">
                  <c:v>0.21893147502903601</c:v>
                </c:pt>
                <c:pt idx="12">
                  <c:v>0.13037166085946575</c:v>
                </c:pt>
                <c:pt idx="13">
                  <c:v>0.11585365853658539</c:v>
                </c:pt>
                <c:pt idx="14">
                  <c:v>1</c:v>
                </c:pt>
                <c:pt idx="15">
                  <c:v>0.65892628887942051</c:v>
                </c:pt>
                <c:pt idx="16">
                  <c:v>0.41435875585854282</c:v>
                </c:pt>
                <c:pt idx="17">
                  <c:v>0.26949296974861525</c:v>
                </c:pt>
                <c:pt idx="18">
                  <c:v>0.14358755858542821</c:v>
                </c:pt>
                <c:pt idx="19">
                  <c:v>0.10801022582019601</c:v>
                </c:pt>
                <c:pt idx="20">
                  <c:v>8.2871751171708571E-2</c:v>
                </c:pt>
                <c:pt idx="21">
                  <c:v>1</c:v>
                </c:pt>
                <c:pt idx="22">
                  <c:v>0.69186580882352933</c:v>
                </c:pt>
                <c:pt idx="23">
                  <c:v>0.53952205882352944</c:v>
                </c:pt>
                <c:pt idx="24">
                  <c:v>0.3334099264705882</c:v>
                </c:pt>
                <c:pt idx="25">
                  <c:v>0.16429227941176469</c:v>
                </c:pt>
                <c:pt idx="26">
                  <c:v>0.12155330882352941</c:v>
                </c:pt>
                <c:pt idx="27">
                  <c:v>8.9613970588235281E-2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B7D-42C7-8B78-72EA8148F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9642221"/>
        <c:axId val="838735323"/>
      </c:scatterChart>
      <c:valAx>
        <c:axId val="97964222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time (minutes)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838735323"/>
        <c:crosses val="autoZero"/>
        <c:crossBetween val="midCat"/>
      </c:valAx>
      <c:valAx>
        <c:axId val="83873532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dioxane C/C0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979642221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sz="1400" b="0" i="0">
                <a:solidFill>
                  <a:srgbClr val="757575"/>
                </a:solidFill>
                <a:latin typeface="+mn-lt"/>
              </a:rPr>
              <a:t>Cl2free C/C0 in UV-Cl2 Reox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Cl2free C/C0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Expon. (Cl2free C/C0)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exp"/>
            <c:dispRSqr val="0"/>
            <c:dispEq val="0"/>
          </c:trendline>
          <c:xVal>
            <c:numRef>
              <c:f>week6reox!$A$2:$A$22</c:f>
              <c:numCache>
                <c:formatCode>General</c:formatCode>
                <c:ptCount val="21"/>
                <c:pt idx="0">
                  <c:v>0</c:v>
                </c:pt>
                <c:pt idx="1">
                  <c:v>0.43</c:v>
                </c:pt>
                <c:pt idx="2">
                  <c:v>0.66</c:v>
                </c:pt>
                <c:pt idx="3">
                  <c:v>1</c:v>
                </c:pt>
                <c:pt idx="4">
                  <c:v>1.33</c:v>
                </c:pt>
                <c:pt idx="5">
                  <c:v>1.76</c:v>
                </c:pt>
                <c:pt idx="6">
                  <c:v>2</c:v>
                </c:pt>
                <c:pt idx="7">
                  <c:v>0</c:v>
                </c:pt>
                <c:pt idx="8">
                  <c:v>0.43</c:v>
                </c:pt>
                <c:pt idx="9">
                  <c:v>0.66</c:v>
                </c:pt>
                <c:pt idx="10">
                  <c:v>1</c:v>
                </c:pt>
                <c:pt idx="11">
                  <c:v>1.33</c:v>
                </c:pt>
                <c:pt idx="12">
                  <c:v>1.76</c:v>
                </c:pt>
                <c:pt idx="13">
                  <c:v>2</c:v>
                </c:pt>
                <c:pt idx="14">
                  <c:v>0</c:v>
                </c:pt>
                <c:pt idx="15">
                  <c:v>0.43</c:v>
                </c:pt>
                <c:pt idx="16">
                  <c:v>0.66</c:v>
                </c:pt>
                <c:pt idx="17">
                  <c:v>1</c:v>
                </c:pt>
                <c:pt idx="18">
                  <c:v>1.33</c:v>
                </c:pt>
                <c:pt idx="19">
                  <c:v>1.76</c:v>
                </c:pt>
                <c:pt idx="20">
                  <c:v>2</c:v>
                </c:pt>
              </c:numCache>
            </c:numRef>
          </c:xVal>
          <c:yVal>
            <c:numRef>
              <c:f>week6reox!$I$2:$I$22</c:f>
              <c:numCache>
                <c:formatCode>General</c:formatCode>
                <c:ptCount val="21"/>
                <c:pt idx="0">
                  <c:v>1</c:v>
                </c:pt>
                <c:pt idx="1">
                  <c:v>0.89696969696969697</c:v>
                </c:pt>
                <c:pt idx="2">
                  <c:v>0.80606060606060614</c:v>
                </c:pt>
                <c:pt idx="3">
                  <c:v>0.76969696969696966</c:v>
                </c:pt>
                <c:pt idx="4">
                  <c:v>0.73333333333333328</c:v>
                </c:pt>
                <c:pt idx="5">
                  <c:v>0.64242424242424256</c:v>
                </c:pt>
                <c:pt idx="6">
                  <c:v>0.52727272727272723</c:v>
                </c:pt>
                <c:pt idx="14">
                  <c:v>1</c:v>
                </c:pt>
                <c:pt idx="15">
                  <c:v>0.92307692307692324</c:v>
                </c:pt>
                <c:pt idx="16">
                  <c:v>0.81656804733727806</c:v>
                </c:pt>
                <c:pt idx="17">
                  <c:v>0.75739644970414211</c:v>
                </c:pt>
                <c:pt idx="18">
                  <c:v>0.66272189349112443</c:v>
                </c:pt>
                <c:pt idx="19">
                  <c:v>0.59171597633136097</c:v>
                </c:pt>
                <c:pt idx="20">
                  <c:v>0.52071005917159774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B22-42A4-88F9-4B8EFED1E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3304531"/>
        <c:axId val="1446359497"/>
      </c:scatterChart>
      <c:valAx>
        <c:axId val="158330453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time (minute)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446359497"/>
        <c:crosses val="autoZero"/>
        <c:crossBetween val="midCat"/>
      </c:valAx>
      <c:valAx>
        <c:axId val="14463594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sz="1000" b="0" i="0">
                    <a:solidFill>
                      <a:srgbClr val="000000"/>
                    </a:solidFill>
                    <a:latin typeface="+mn-lt"/>
                  </a:rPr>
                  <a:t>Cl2free C/C0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583304531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fr-FR" sz="1400" b="0" i="0">
                <a:solidFill>
                  <a:srgbClr val="757575"/>
                </a:solidFill>
                <a:latin typeface="+mn-lt"/>
              </a:rPr>
              <a:t>dioxane decay in UV-Cl2 Reox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exp"/>
            <c:dispRSqr val="0"/>
            <c:dispEq val="0"/>
          </c:trendline>
          <c:xVal>
            <c:numRef>
              <c:f>week7reox!$A$2:$A$43</c:f>
              <c:numCache>
                <c:formatCode>General</c:formatCode>
                <c:ptCount val="42"/>
                <c:pt idx="0">
                  <c:v>0</c:v>
                </c:pt>
                <c:pt idx="1">
                  <c:v>0.43</c:v>
                </c:pt>
                <c:pt idx="2">
                  <c:v>0.66</c:v>
                </c:pt>
                <c:pt idx="3">
                  <c:v>1</c:v>
                </c:pt>
                <c:pt idx="4">
                  <c:v>1.33</c:v>
                </c:pt>
                <c:pt idx="5">
                  <c:v>1.76</c:v>
                </c:pt>
                <c:pt idx="6">
                  <c:v>2</c:v>
                </c:pt>
                <c:pt idx="7">
                  <c:v>0</c:v>
                </c:pt>
                <c:pt idx="8">
                  <c:v>0.43</c:v>
                </c:pt>
                <c:pt idx="9">
                  <c:v>0.66</c:v>
                </c:pt>
                <c:pt idx="10">
                  <c:v>1</c:v>
                </c:pt>
                <c:pt idx="11">
                  <c:v>1.33</c:v>
                </c:pt>
                <c:pt idx="12">
                  <c:v>1.76</c:v>
                </c:pt>
                <c:pt idx="13">
                  <c:v>2</c:v>
                </c:pt>
                <c:pt idx="14">
                  <c:v>0</c:v>
                </c:pt>
                <c:pt idx="15">
                  <c:v>0.43</c:v>
                </c:pt>
                <c:pt idx="16">
                  <c:v>0.66</c:v>
                </c:pt>
                <c:pt idx="17">
                  <c:v>1</c:v>
                </c:pt>
                <c:pt idx="18">
                  <c:v>1.33</c:v>
                </c:pt>
                <c:pt idx="19">
                  <c:v>1.76</c:v>
                </c:pt>
                <c:pt idx="20">
                  <c:v>2</c:v>
                </c:pt>
                <c:pt idx="21">
                  <c:v>0</c:v>
                </c:pt>
                <c:pt idx="22">
                  <c:v>0.43</c:v>
                </c:pt>
                <c:pt idx="23">
                  <c:v>0.66</c:v>
                </c:pt>
                <c:pt idx="24">
                  <c:v>1</c:v>
                </c:pt>
                <c:pt idx="25">
                  <c:v>1.33</c:v>
                </c:pt>
                <c:pt idx="26">
                  <c:v>1.76</c:v>
                </c:pt>
                <c:pt idx="27">
                  <c:v>2</c:v>
                </c:pt>
                <c:pt idx="28">
                  <c:v>0</c:v>
                </c:pt>
                <c:pt idx="29">
                  <c:v>0.43</c:v>
                </c:pt>
                <c:pt idx="30">
                  <c:v>0.66</c:v>
                </c:pt>
                <c:pt idx="31">
                  <c:v>1</c:v>
                </c:pt>
                <c:pt idx="32">
                  <c:v>1.33</c:v>
                </c:pt>
                <c:pt idx="33">
                  <c:v>1.76</c:v>
                </c:pt>
                <c:pt idx="34">
                  <c:v>2</c:v>
                </c:pt>
                <c:pt idx="35">
                  <c:v>0</c:v>
                </c:pt>
                <c:pt idx="36">
                  <c:v>0.43</c:v>
                </c:pt>
                <c:pt idx="37">
                  <c:v>0.66</c:v>
                </c:pt>
                <c:pt idx="38">
                  <c:v>1</c:v>
                </c:pt>
                <c:pt idx="39">
                  <c:v>1.33</c:v>
                </c:pt>
                <c:pt idx="40">
                  <c:v>1.76</c:v>
                </c:pt>
                <c:pt idx="41">
                  <c:v>2</c:v>
                </c:pt>
              </c:numCache>
            </c:numRef>
          </c:xVal>
          <c:yVal>
            <c:numRef>
              <c:f>week7reox!$N$2:$N$43</c:f>
              <c:numCache>
                <c:formatCode>General</c:formatCode>
                <c:ptCount val="42"/>
                <c:pt idx="0">
                  <c:v>1</c:v>
                </c:pt>
                <c:pt idx="1">
                  <c:v>0.93743458541690894</c:v>
                </c:pt>
                <c:pt idx="2">
                  <c:v>0.93615536690312828</c:v>
                </c:pt>
                <c:pt idx="3">
                  <c:v>0.90464007442725913</c:v>
                </c:pt>
                <c:pt idx="4">
                  <c:v>0.8664961041981627</c:v>
                </c:pt>
                <c:pt idx="5">
                  <c:v>0.80881497848587047</c:v>
                </c:pt>
                <c:pt idx="6">
                  <c:v>0.79113850447726486</c:v>
                </c:pt>
                <c:pt idx="7">
                  <c:v>1</c:v>
                </c:pt>
                <c:pt idx="8">
                  <c:v>1.0221335268505081</c:v>
                </c:pt>
                <c:pt idx="9">
                  <c:v>0.97786647314949182</c:v>
                </c:pt>
                <c:pt idx="10">
                  <c:v>0.91569908079342022</c:v>
                </c:pt>
                <c:pt idx="11">
                  <c:v>0.9068698597000483</c:v>
                </c:pt>
                <c:pt idx="12">
                  <c:v>0.93529269472665688</c:v>
                </c:pt>
                <c:pt idx="13">
                  <c:v>0.8172472181906143</c:v>
                </c:pt>
                <c:pt idx="14">
                  <c:v>1</c:v>
                </c:pt>
                <c:pt idx="15">
                  <c:v>1.0085048687292</c:v>
                </c:pt>
                <c:pt idx="16">
                  <c:v>0.93035868359423157</c:v>
                </c:pt>
                <c:pt idx="17">
                  <c:v>1.0255146061876002</c:v>
                </c:pt>
                <c:pt idx="18">
                  <c:v>1.0194749168001971</c:v>
                </c:pt>
                <c:pt idx="19">
                  <c:v>0.78836435350671763</c:v>
                </c:pt>
                <c:pt idx="20">
                  <c:v>1.0587945273018613</c:v>
                </c:pt>
                <c:pt idx="21">
                  <c:v>1</c:v>
                </c:pt>
                <c:pt idx="22">
                  <c:v>1.0088283378746594</c:v>
                </c:pt>
                <c:pt idx="23">
                  <c:v>0.94626702997275192</c:v>
                </c:pt>
                <c:pt idx="24">
                  <c:v>0.8214713896457766</c:v>
                </c:pt>
                <c:pt idx="25">
                  <c:v>0.95444141689373285</c:v>
                </c:pt>
                <c:pt idx="26">
                  <c:v>0.94615803814713895</c:v>
                </c:pt>
                <c:pt idx="27">
                  <c:v>0.83378746594005448</c:v>
                </c:pt>
                <c:pt idx="28">
                  <c:v>1</c:v>
                </c:pt>
                <c:pt idx="29">
                  <c:v>0.95353136940712446</c:v>
                </c:pt>
                <c:pt idx="30">
                  <c:v>1.0012325896708987</c:v>
                </c:pt>
                <c:pt idx="31">
                  <c:v>1.023049426845803</c:v>
                </c:pt>
                <c:pt idx="32">
                  <c:v>0.9797855293972636</c:v>
                </c:pt>
                <c:pt idx="33">
                  <c:v>1.0247750523850612</c:v>
                </c:pt>
                <c:pt idx="34">
                  <c:v>0.92974238875878235</c:v>
                </c:pt>
                <c:pt idx="35">
                  <c:v>0.91934604904632145</c:v>
                </c:pt>
                <c:pt idx="36">
                  <c:v>0.90931880108991836</c:v>
                </c:pt>
                <c:pt idx="37">
                  <c:v>0.87967302452316065</c:v>
                </c:pt>
                <c:pt idx="38">
                  <c:v>0.9502997275204359</c:v>
                </c:pt>
                <c:pt idx="39">
                  <c:v>0.83749318801089923</c:v>
                </c:pt>
                <c:pt idx="40">
                  <c:v>0.86681198910081747</c:v>
                </c:pt>
                <c:pt idx="41">
                  <c:v>0.82212534059945508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617-4B21-9B36-FF6523B75C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5710822"/>
        <c:axId val="639970163"/>
      </c:scatterChart>
      <c:valAx>
        <c:axId val="71571082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0" i="0">
                    <a:solidFill>
                      <a:srgbClr val="000000"/>
                    </a:solidFill>
                    <a:latin typeface="+mn-lt"/>
                  </a:rPr>
                  <a:t>time (minutes)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639970163"/>
        <c:crosses val="autoZero"/>
        <c:crossBetween val="midCat"/>
      </c:valAx>
      <c:valAx>
        <c:axId val="6399701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0" i="0">
                    <a:solidFill>
                      <a:srgbClr val="000000"/>
                    </a:solidFill>
                    <a:latin typeface="+mn-lt"/>
                  </a:rPr>
                  <a:t>dioxane C/C0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715710822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fr-FR" sz="1400" b="0" i="0">
                <a:solidFill>
                  <a:srgbClr val="757575"/>
                </a:solidFill>
                <a:latin typeface="+mn-lt"/>
              </a:rPr>
              <a:t>Cl2free C/C0 in UV-Cl2 Reox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Cl2free C/C0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Expon. (Cl2free C/C0)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exp"/>
            <c:dispRSqr val="0"/>
            <c:dispEq val="0"/>
          </c:trendline>
          <c:xVal>
            <c:numRef>
              <c:f>week7reox!$A$2:$A$22</c:f>
              <c:numCache>
                <c:formatCode>General</c:formatCode>
                <c:ptCount val="21"/>
                <c:pt idx="0">
                  <c:v>0</c:v>
                </c:pt>
                <c:pt idx="1">
                  <c:v>0.43</c:v>
                </c:pt>
                <c:pt idx="2">
                  <c:v>0.66</c:v>
                </c:pt>
                <c:pt idx="3">
                  <c:v>1</c:v>
                </c:pt>
                <c:pt idx="4">
                  <c:v>1.33</c:v>
                </c:pt>
                <c:pt idx="5">
                  <c:v>1.76</c:v>
                </c:pt>
                <c:pt idx="6">
                  <c:v>2</c:v>
                </c:pt>
                <c:pt idx="7">
                  <c:v>0</c:v>
                </c:pt>
                <c:pt idx="8">
                  <c:v>0.43</c:v>
                </c:pt>
                <c:pt idx="9">
                  <c:v>0.66</c:v>
                </c:pt>
                <c:pt idx="10">
                  <c:v>1</c:v>
                </c:pt>
                <c:pt idx="11">
                  <c:v>1.33</c:v>
                </c:pt>
                <c:pt idx="12">
                  <c:v>1.76</c:v>
                </c:pt>
                <c:pt idx="13">
                  <c:v>2</c:v>
                </c:pt>
                <c:pt idx="14">
                  <c:v>0</c:v>
                </c:pt>
                <c:pt idx="15">
                  <c:v>0.43</c:v>
                </c:pt>
                <c:pt idx="16">
                  <c:v>0.66</c:v>
                </c:pt>
                <c:pt idx="17">
                  <c:v>1</c:v>
                </c:pt>
                <c:pt idx="18">
                  <c:v>1.33</c:v>
                </c:pt>
                <c:pt idx="19">
                  <c:v>1.76</c:v>
                </c:pt>
                <c:pt idx="20">
                  <c:v>2</c:v>
                </c:pt>
              </c:numCache>
            </c:numRef>
          </c:xVal>
          <c:yVal>
            <c:numRef>
              <c:f>week7reox!$I$2:$I$22</c:f>
              <c:numCache>
                <c:formatCode>General</c:formatCode>
                <c:ptCount val="21"/>
                <c:pt idx="0">
                  <c:v>1</c:v>
                </c:pt>
                <c:pt idx="1">
                  <c:v>0.93258426966292118</c:v>
                </c:pt>
                <c:pt idx="2">
                  <c:v>0.83707865168539319</c:v>
                </c:pt>
                <c:pt idx="3">
                  <c:v>0.7696629213483146</c:v>
                </c:pt>
                <c:pt idx="4">
                  <c:v>0.70224719101123589</c:v>
                </c:pt>
                <c:pt idx="5">
                  <c:v>0.63483146067415719</c:v>
                </c:pt>
                <c:pt idx="6">
                  <c:v>0.5786516853932584</c:v>
                </c:pt>
                <c:pt idx="14">
                  <c:v>1</c:v>
                </c:pt>
                <c:pt idx="15">
                  <c:v>0.92941176470588238</c:v>
                </c:pt>
                <c:pt idx="16">
                  <c:v>0.80588235294117649</c:v>
                </c:pt>
                <c:pt idx="17">
                  <c:v>0.75294117647058822</c:v>
                </c:pt>
                <c:pt idx="18">
                  <c:v>0.70588235294117652</c:v>
                </c:pt>
                <c:pt idx="19">
                  <c:v>0.60588235294117654</c:v>
                </c:pt>
                <c:pt idx="20">
                  <c:v>0.55294117647058816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E50-44C1-A565-3D46DD86A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3437465"/>
        <c:axId val="1755212313"/>
      </c:scatterChart>
      <c:valAx>
        <c:axId val="213343746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0" i="0">
                    <a:solidFill>
                      <a:srgbClr val="000000"/>
                    </a:solidFill>
                    <a:latin typeface="+mn-lt"/>
                  </a:rPr>
                  <a:t>time (minute)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755212313"/>
        <c:crosses val="autoZero"/>
        <c:crossBetween val="midCat"/>
      </c:valAx>
      <c:valAx>
        <c:axId val="175521231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0" i="0">
                    <a:solidFill>
                      <a:srgbClr val="000000"/>
                    </a:solidFill>
                    <a:latin typeface="+mn-lt"/>
                  </a:rPr>
                  <a:t>Cl2free C/C0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2133437465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fr-FR" sz="1400" b="0" i="0">
                <a:solidFill>
                  <a:srgbClr val="757575"/>
                </a:solidFill>
                <a:latin typeface="+mn-lt"/>
              </a:rPr>
              <a:t>dioxane decay in UV-Cl2 Reox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exp"/>
            <c:dispRSqr val="0"/>
            <c:dispEq val="0"/>
          </c:trendline>
          <c:xVal>
            <c:numRef>
              <c:f>'week8reox ph5&amp;8'!$A$2:$A$29</c:f>
              <c:numCache>
                <c:formatCode>General</c:formatCode>
                <c:ptCount val="28"/>
                <c:pt idx="0">
                  <c:v>0</c:v>
                </c:pt>
                <c:pt idx="1">
                  <c:v>0.43</c:v>
                </c:pt>
                <c:pt idx="2">
                  <c:v>0.66</c:v>
                </c:pt>
                <c:pt idx="3">
                  <c:v>1</c:v>
                </c:pt>
                <c:pt idx="4">
                  <c:v>1.33</c:v>
                </c:pt>
                <c:pt idx="5">
                  <c:v>1.76</c:v>
                </c:pt>
                <c:pt idx="6">
                  <c:v>2</c:v>
                </c:pt>
                <c:pt idx="7">
                  <c:v>0</c:v>
                </c:pt>
                <c:pt idx="8">
                  <c:v>0.43</c:v>
                </c:pt>
                <c:pt idx="9">
                  <c:v>0.66</c:v>
                </c:pt>
                <c:pt idx="10">
                  <c:v>1</c:v>
                </c:pt>
                <c:pt idx="11">
                  <c:v>1.33</c:v>
                </c:pt>
                <c:pt idx="12">
                  <c:v>1.76</c:v>
                </c:pt>
                <c:pt idx="13">
                  <c:v>2</c:v>
                </c:pt>
                <c:pt idx="14">
                  <c:v>0</c:v>
                </c:pt>
                <c:pt idx="15">
                  <c:v>0.43</c:v>
                </c:pt>
                <c:pt idx="16">
                  <c:v>0.66</c:v>
                </c:pt>
                <c:pt idx="17">
                  <c:v>1</c:v>
                </c:pt>
                <c:pt idx="18">
                  <c:v>1.33</c:v>
                </c:pt>
                <c:pt idx="19">
                  <c:v>1.76</c:v>
                </c:pt>
                <c:pt idx="20">
                  <c:v>2</c:v>
                </c:pt>
                <c:pt idx="21">
                  <c:v>0</c:v>
                </c:pt>
                <c:pt idx="22">
                  <c:v>0.43</c:v>
                </c:pt>
                <c:pt idx="23">
                  <c:v>0.66</c:v>
                </c:pt>
                <c:pt idx="24">
                  <c:v>1</c:v>
                </c:pt>
                <c:pt idx="25">
                  <c:v>1.33</c:v>
                </c:pt>
                <c:pt idx="26">
                  <c:v>1.76</c:v>
                </c:pt>
                <c:pt idx="27">
                  <c:v>2</c:v>
                </c:pt>
              </c:numCache>
            </c:numRef>
          </c:xVal>
          <c:yVal>
            <c:numRef>
              <c:f>'week8reox ph5&amp;8'!$M$2:$M$29</c:f>
              <c:numCache>
                <c:formatCode>0.00</c:formatCode>
                <c:ptCount val="28"/>
                <c:pt idx="0">
                  <c:v>1</c:v>
                </c:pt>
                <c:pt idx="1">
                  <c:v>0.97022709746309899</c:v>
                </c:pt>
                <c:pt idx="2">
                  <c:v>0.95647502636700821</c:v>
                </c:pt>
                <c:pt idx="3">
                  <c:v>0.87917359018825758</c:v>
                </c:pt>
                <c:pt idx="4">
                  <c:v>0.90204148835260212</c:v>
                </c:pt>
                <c:pt idx="5">
                  <c:v>0.77309954606713538</c:v>
                </c:pt>
                <c:pt idx="6">
                  <c:v>0.9075019343131977</c:v>
                </c:pt>
                <c:pt idx="7">
                  <c:v>1</c:v>
                </c:pt>
                <c:pt idx="8">
                  <c:v>0.76485592505714572</c:v>
                </c:pt>
                <c:pt idx="9">
                  <c:v>0.8398830420335438</c:v>
                </c:pt>
                <c:pt idx="10">
                  <c:v>0.76739733280438505</c:v>
                </c:pt>
                <c:pt idx="11">
                  <c:v>0.63060041729035421</c:v>
                </c:pt>
                <c:pt idx="12">
                  <c:v>0.83580785723626927</c:v>
                </c:pt>
                <c:pt idx="13">
                  <c:v>0.57323326703310473</c:v>
                </c:pt>
                <c:pt idx="14">
                  <c:v>1</c:v>
                </c:pt>
                <c:pt idx="15">
                  <c:v>0.99574070287490013</c:v>
                </c:pt>
                <c:pt idx="16">
                  <c:v>0.91848127503316523</c:v>
                </c:pt>
                <c:pt idx="17">
                  <c:v>0.8832348893377282</c:v>
                </c:pt>
                <c:pt idx="18">
                  <c:v>0.78015193760235158</c:v>
                </c:pt>
                <c:pt idx="19">
                  <c:v>0.82673721188609139</c:v>
                </c:pt>
                <c:pt idx="20">
                  <c:v>0.69682636960719913</c:v>
                </c:pt>
                <c:pt idx="21">
                  <c:v>1</c:v>
                </c:pt>
                <c:pt idx="22">
                  <c:v>0.86103593870956707</c:v>
                </c:pt>
                <c:pt idx="23">
                  <c:v>0.85557523732840257</c:v>
                </c:pt>
                <c:pt idx="24">
                  <c:v>0.86557430942898939</c:v>
                </c:pt>
                <c:pt idx="25">
                  <c:v>0.76079904752646343</c:v>
                </c:pt>
                <c:pt idx="26">
                  <c:v>0.77404857200465371</c:v>
                </c:pt>
                <c:pt idx="27">
                  <c:v>0.70910091951504106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16-41DC-95B6-2D18E5CA2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0969302"/>
        <c:axId val="604943166"/>
      </c:scatterChart>
      <c:valAx>
        <c:axId val="133096930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0" i="0">
                    <a:solidFill>
                      <a:srgbClr val="000000"/>
                    </a:solidFill>
                    <a:latin typeface="+mn-lt"/>
                  </a:rPr>
                  <a:t>time (minutes)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604943166"/>
        <c:crosses val="autoZero"/>
        <c:crossBetween val="midCat"/>
      </c:valAx>
      <c:valAx>
        <c:axId val="6049431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0" i="0">
                    <a:solidFill>
                      <a:srgbClr val="000000"/>
                    </a:solidFill>
                    <a:latin typeface="+mn-lt"/>
                  </a:rPr>
                  <a:t>dioxane C/C0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330969302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fr-FR" sz="1400" b="0" i="0">
                <a:solidFill>
                  <a:srgbClr val="757575"/>
                </a:solidFill>
                <a:latin typeface="+mn-lt"/>
              </a:rPr>
              <a:t>Cl2free C/C0 in UV-Cl2 Reox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Cl2free C/C0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Expon. (Cl2free C/C0)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exp"/>
            <c:dispRSqr val="0"/>
            <c:dispEq val="0"/>
          </c:trendline>
          <c:xVal>
            <c:numRef>
              <c:f>'week8reox ph5&amp;8'!$A$2:$A$57</c:f>
              <c:numCache>
                <c:formatCode>General</c:formatCode>
                <c:ptCount val="56"/>
                <c:pt idx="0">
                  <c:v>0</c:v>
                </c:pt>
                <c:pt idx="1">
                  <c:v>0.43</c:v>
                </c:pt>
                <c:pt idx="2">
                  <c:v>0.66</c:v>
                </c:pt>
                <c:pt idx="3">
                  <c:v>1</c:v>
                </c:pt>
                <c:pt idx="4">
                  <c:v>1.33</c:v>
                </c:pt>
                <c:pt idx="5">
                  <c:v>1.76</c:v>
                </c:pt>
                <c:pt idx="6">
                  <c:v>2</c:v>
                </c:pt>
                <c:pt idx="7">
                  <c:v>0</c:v>
                </c:pt>
                <c:pt idx="8">
                  <c:v>0.43</c:v>
                </c:pt>
                <c:pt idx="9">
                  <c:v>0.66</c:v>
                </c:pt>
                <c:pt idx="10">
                  <c:v>1</c:v>
                </c:pt>
                <c:pt idx="11">
                  <c:v>1.33</c:v>
                </c:pt>
                <c:pt idx="12">
                  <c:v>1.76</c:v>
                </c:pt>
                <c:pt idx="13">
                  <c:v>2</c:v>
                </c:pt>
                <c:pt idx="14">
                  <c:v>0</c:v>
                </c:pt>
                <c:pt idx="15">
                  <c:v>0.43</c:v>
                </c:pt>
                <c:pt idx="16">
                  <c:v>0.66</c:v>
                </c:pt>
                <c:pt idx="17">
                  <c:v>1</c:v>
                </c:pt>
                <c:pt idx="18">
                  <c:v>1.33</c:v>
                </c:pt>
                <c:pt idx="19">
                  <c:v>1.76</c:v>
                </c:pt>
                <c:pt idx="20">
                  <c:v>2</c:v>
                </c:pt>
                <c:pt idx="21">
                  <c:v>0</c:v>
                </c:pt>
                <c:pt idx="22">
                  <c:v>0.43</c:v>
                </c:pt>
                <c:pt idx="23">
                  <c:v>0.66</c:v>
                </c:pt>
                <c:pt idx="24">
                  <c:v>1</c:v>
                </c:pt>
                <c:pt idx="25">
                  <c:v>1.33</c:v>
                </c:pt>
                <c:pt idx="26">
                  <c:v>1.76</c:v>
                </c:pt>
                <c:pt idx="27">
                  <c:v>2</c:v>
                </c:pt>
                <c:pt idx="28">
                  <c:v>0</c:v>
                </c:pt>
                <c:pt idx="29">
                  <c:v>0.43</c:v>
                </c:pt>
                <c:pt idx="30">
                  <c:v>0.66</c:v>
                </c:pt>
                <c:pt idx="31">
                  <c:v>1</c:v>
                </c:pt>
                <c:pt idx="32">
                  <c:v>1.33</c:v>
                </c:pt>
                <c:pt idx="33">
                  <c:v>1.76</c:v>
                </c:pt>
                <c:pt idx="34">
                  <c:v>2</c:v>
                </c:pt>
                <c:pt idx="35">
                  <c:v>0</c:v>
                </c:pt>
                <c:pt idx="36">
                  <c:v>0.43</c:v>
                </c:pt>
                <c:pt idx="37">
                  <c:v>0.66</c:v>
                </c:pt>
                <c:pt idx="38">
                  <c:v>1</c:v>
                </c:pt>
                <c:pt idx="39">
                  <c:v>1.33</c:v>
                </c:pt>
                <c:pt idx="40">
                  <c:v>1.76</c:v>
                </c:pt>
                <c:pt idx="41">
                  <c:v>2</c:v>
                </c:pt>
                <c:pt idx="42">
                  <c:v>0</c:v>
                </c:pt>
                <c:pt idx="43">
                  <c:v>0.43</c:v>
                </c:pt>
                <c:pt idx="44">
                  <c:v>0.66</c:v>
                </c:pt>
                <c:pt idx="45">
                  <c:v>1</c:v>
                </c:pt>
                <c:pt idx="46">
                  <c:v>1.33</c:v>
                </c:pt>
                <c:pt idx="47">
                  <c:v>1.76</c:v>
                </c:pt>
                <c:pt idx="48">
                  <c:v>2</c:v>
                </c:pt>
                <c:pt idx="49">
                  <c:v>0</c:v>
                </c:pt>
                <c:pt idx="50">
                  <c:v>0.43</c:v>
                </c:pt>
                <c:pt idx="51">
                  <c:v>0.66</c:v>
                </c:pt>
                <c:pt idx="52">
                  <c:v>1</c:v>
                </c:pt>
                <c:pt idx="53">
                  <c:v>1.33</c:v>
                </c:pt>
                <c:pt idx="54">
                  <c:v>1.76</c:v>
                </c:pt>
                <c:pt idx="55">
                  <c:v>2</c:v>
                </c:pt>
              </c:numCache>
            </c:numRef>
          </c:xVal>
          <c:yVal>
            <c:numRef>
              <c:f>'week8reox ph5&amp;8'!$J$2:$J$57</c:f>
              <c:numCache>
                <c:formatCode>General</c:formatCode>
                <c:ptCount val="56"/>
                <c:pt idx="0">
                  <c:v>1</c:v>
                </c:pt>
                <c:pt idx="1">
                  <c:v>0.88770053475935806</c:v>
                </c:pt>
                <c:pt idx="2">
                  <c:v>0.82887700534759345</c:v>
                </c:pt>
                <c:pt idx="3">
                  <c:v>0.74331550802139024</c:v>
                </c:pt>
                <c:pt idx="4">
                  <c:v>0.66310160427807474</c:v>
                </c:pt>
                <c:pt idx="5">
                  <c:v>0.57754010695187163</c:v>
                </c:pt>
                <c:pt idx="6">
                  <c:v>0.48128342245989297</c:v>
                </c:pt>
                <c:pt idx="14">
                  <c:v>1</c:v>
                </c:pt>
                <c:pt idx="15">
                  <c:v>0.90960451977401147</c:v>
                </c:pt>
                <c:pt idx="16">
                  <c:v>0.82485875706214695</c:v>
                </c:pt>
                <c:pt idx="17">
                  <c:v>0.7457627118644069</c:v>
                </c:pt>
                <c:pt idx="18">
                  <c:v>0.66101694915254239</c:v>
                </c:pt>
                <c:pt idx="19">
                  <c:v>0.59322033898305082</c:v>
                </c:pt>
                <c:pt idx="20">
                  <c:v>0.49152542372881353</c:v>
                </c:pt>
                <c:pt idx="28">
                  <c:v>1</c:v>
                </c:pt>
                <c:pt idx="29">
                  <c:v>0.94082840236686405</c:v>
                </c:pt>
                <c:pt idx="30">
                  <c:v>0.85798816568047342</c:v>
                </c:pt>
                <c:pt idx="31">
                  <c:v>0.76331360946745574</c:v>
                </c:pt>
                <c:pt idx="32">
                  <c:v>0.69230769230769229</c:v>
                </c:pt>
                <c:pt idx="33">
                  <c:v>0.58579881656804744</c:v>
                </c:pt>
                <c:pt idx="34">
                  <c:v>0.50295857988165682</c:v>
                </c:pt>
                <c:pt idx="42">
                  <c:v>1</c:v>
                </c:pt>
                <c:pt idx="43">
                  <c:v>0.87634408602150515</c:v>
                </c:pt>
                <c:pt idx="44">
                  <c:v>0.79569892473118276</c:v>
                </c:pt>
                <c:pt idx="45">
                  <c:v>0.72580645161290314</c:v>
                </c:pt>
                <c:pt idx="46">
                  <c:v>0.63440860215053752</c:v>
                </c:pt>
                <c:pt idx="47">
                  <c:v>0.543010752688172</c:v>
                </c:pt>
                <c:pt idx="48">
                  <c:v>0.48387096774193544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D0A-4779-B5EA-8DAEADC2D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5123767"/>
        <c:axId val="977048151"/>
      </c:scatterChart>
      <c:valAx>
        <c:axId val="185512376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0" i="0">
                    <a:solidFill>
                      <a:srgbClr val="000000"/>
                    </a:solidFill>
                    <a:latin typeface="+mn-lt"/>
                  </a:rPr>
                  <a:t>time (minute)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977048151"/>
        <c:crosses val="autoZero"/>
        <c:crossBetween val="midCat"/>
      </c:valAx>
      <c:valAx>
        <c:axId val="97704815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0" i="0">
                    <a:solidFill>
                      <a:srgbClr val="000000"/>
                    </a:solidFill>
                    <a:latin typeface="+mn-lt"/>
                  </a:rPr>
                  <a:t>Cl2free C/C0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855123767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fr-FR" sz="1400" b="0" i="0">
                <a:solidFill>
                  <a:srgbClr val="757575"/>
                </a:solidFill>
                <a:latin typeface="+mn-lt"/>
              </a:rPr>
              <a:t>dioxane decay in UV-Cl2 Reox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trendlin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exp"/>
            <c:dispRSqr val="0"/>
            <c:dispEq val="0"/>
          </c:trendline>
          <c:xVal>
            <c:numRef>
              <c:f>'week8reox ph7'!$A$2:$A$29</c:f>
              <c:numCache>
                <c:formatCode>General</c:formatCode>
                <c:ptCount val="28"/>
                <c:pt idx="0">
                  <c:v>0</c:v>
                </c:pt>
                <c:pt idx="1">
                  <c:v>0.43</c:v>
                </c:pt>
                <c:pt idx="2">
                  <c:v>0.66</c:v>
                </c:pt>
                <c:pt idx="3">
                  <c:v>1</c:v>
                </c:pt>
                <c:pt idx="4">
                  <c:v>1.33</c:v>
                </c:pt>
                <c:pt idx="5">
                  <c:v>1.76</c:v>
                </c:pt>
                <c:pt idx="6">
                  <c:v>2</c:v>
                </c:pt>
                <c:pt idx="7">
                  <c:v>0</c:v>
                </c:pt>
                <c:pt idx="8">
                  <c:v>0.43</c:v>
                </c:pt>
                <c:pt idx="9">
                  <c:v>0.66</c:v>
                </c:pt>
                <c:pt idx="10">
                  <c:v>1</c:v>
                </c:pt>
                <c:pt idx="11">
                  <c:v>1.33</c:v>
                </c:pt>
                <c:pt idx="12">
                  <c:v>1.76</c:v>
                </c:pt>
                <c:pt idx="13">
                  <c:v>2</c:v>
                </c:pt>
                <c:pt idx="14">
                  <c:v>0</c:v>
                </c:pt>
                <c:pt idx="15">
                  <c:v>0.43</c:v>
                </c:pt>
                <c:pt idx="16">
                  <c:v>0.66</c:v>
                </c:pt>
                <c:pt idx="17">
                  <c:v>1</c:v>
                </c:pt>
                <c:pt idx="18">
                  <c:v>1.33</c:v>
                </c:pt>
                <c:pt idx="19">
                  <c:v>1.76</c:v>
                </c:pt>
                <c:pt idx="20">
                  <c:v>2</c:v>
                </c:pt>
                <c:pt idx="21">
                  <c:v>0</c:v>
                </c:pt>
                <c:pt idx="22">
                  <c:v>0.43</c:v>
                </c:pt>
                <c:pt idx="23">
                  <c:v>0.66</c:v>
                </c:pt>
                <c:pt idx="24">
                  <c:v>1</c:v>
                </c:pt>
                <c:pt idx="25">
                  <c:v>1.33</c:v>
                </c:pt>
                <c:pt idx="26">
                  <c:v>1.76</c:v>
                </c:pt>
                <c:pt idx="27">
                  <c:v>2</c:v>
                </c:pt>
              </c:numCache>
            </c:numRef>
          </c:xVal>
          <c:yVal>
            <c:numRef>
              <c:f>'week8reox ph7'!$M$2:$M$29</c:f>
              <c:numCache>
                <c:formatCode>0.00</c:formatCode>
                <c:ptCount val="28"/>
                <c:pt idx="0">
                  <c:v>1</c:v>
                </c:pt>
                <c:pt idx="1">
                  <c:v>0.82461046743907307</c:v>
                </c:pt>
                <c:pt idx="2">
                  <c:v>0.76175256359035826</c:v>
                </c:pt>
                <c:pt idx="3">
                  <c:v>0.7162072180050606</c:v>
                </c:pt>
                <c:pt idx="4">
                  <c:v>0.59661739246237844</c:v>
                </c:pt>
                <c:pt idx="5">
                  <c:v>0.73272073511785862</c:v>
                </c:pt>
                <c:pt idx="6">
                  <c:v>0.73605007324543881</c:v>
                </c:pt>
                <c:pt idx="7">
                  <c:v>1</c:v>
                </c:pt>
                <c:pt idx="8">
                  <c:v>0.82939787485242034</c:v>
                </c:pt>
                <c:pt idx="9">
                  <c:v>0</c:v>
                </c:pt>
                <c:pt idx="10">
                  <c:v>0.77612160566706023</c:v>
                </c:pt>
                <c:pt idx="11">
                  <c:v>0.66086186540731995</c:v>
                </c:pt>
                <c:pt idx="12">
                  <c:v>0.82438016528925617</c:v>
                </c:pt>
                <c:pt idx="13">
                  <c:v>0.66927390791027153</c:v>
                </c:pt>
                <c:pt idx="14">
                  <c:v>1</c:v>
                </c:pt>
                <c:pt idx="15">
                  <c:v>0.83250897100184273</c:v>
                </c:pt>
                <c:pt idx="16">
                  <c:v>0.95141111434390446</c:v>
                </c:pt>
                <c:pt idx="17">
                  <c:v>0.79196974105324403</c:v>
                </c:pt>
                <c:pt idx="18">
                  <c:v>0.84492289787605479</c:v>
                </c:pt>
                <c:pt idx="19">
                  <c:v>0.78246532829017557</c:v>
                </c:pt>
                <c:pt idx="20">
                  <c:v>0.70022306274852097</c:v>
                </c:pt>
                <c:pt idx="21">
                  <c:v>1</c:v>
                </c:pt>
                <c:pt idx="22">
                  <c:v>0.9303250849102378</c:v>
                </c:pt>
                <c:pt idx="23">
                  <c:v>1.0723920426977196</c:v>
                </c:pt>
                <c:pt idx="24">
                  <c:v>0.82348374575448813</c:v>
                </c:pt>
                <c:pt idx="25">
                  <c:v>0.74099951479864146</c:v>
                </c:pt>
                <c:pt idx="26">
                  <c:v>0.76089277049975734</c:v>
                </c:pt>
                <c:pt idx="27">
                  <c:v>0.74643377001455613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05A-4F33-9403-4D41DE7691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7658011"/>
        <c:axId val="1354942587"/>
      </c:scatterChart>
      <c:valAx>
        <c:axId val="57765801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0" i="0">
                    <a:solidFill>
                      <a:srgbClr val="000000"/>
                    </a:solidFill>
                    <a:latin typeface="+mn-lt"/>
                  </a:rPr>
                  <a:t>time (minutes)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354942587"/>
        <c:crosses val="autoZero"/>
        <c:crossBetween val="midCat"/>
      </c:valAx>
      <c:valAx>
        <c:axId val="13549425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0" i="0">
                    <a:solidFill>
                      <a:srgbClr val="000000"/>
                    </a:solidFill>
                    <a:latin typeface="+mn-lt"/>
                  </a:rPr>
                  <a:t>dioxane C/C0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577658011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fr-FR" sz="1400" b="0" i="0">
                <a:solidFill>
                  <a:srgbClr val="757575"/>
                </a:solidFill>
                <a:latin typeface="+mn-lt"/>
              </a:rPr>
              <a:t>Cl2free C/C0 in UV-Cl2 Reox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Cl2free C/C0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Expon. (Cl2free C/C0)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exp"/>
            <c:dispRSqr val="0"/>
            <c:dispEq val="0"/>
          </c:trendline>
          <c:xVal>
            <c:numRef>
              <c:f>'week8reox ph7'!$A$2:$A$57</c:f>
              <c:numCache>
                <c:formatCode>General</c:formatCode>
                <c:ptCount val="56"/>
                <c:pt idx="0">
                  <c:v>0</c:v>
                </c:pt>
                <c:pt idx="1">
                  <c:v>0.43</c:v>
                </c:pt>
                <c:pt idx="2">
                  <c:v>0.66</c:v>
                </c:pt>
                <c:pt idx="3">
                  <c:v>1</c:v>
                </c:pt>
                <c:pt idx="4">
                  <c:v>1.33</c:v>
                </c:pt>
                <c:pt idx="5">
                  <c:v>1.76</c:v>
                </c:pt>
                <c:pt idx="6">
                  <c:v>2</c:v>
                </c:pt>
                <c:pt idx="7">
                  <c:v>0</c:v>
                </c:pt>
                <c:pt idx="8">
                  <c:v>0.43</c:v>
                </c:pt>
                <c:pt idx="9">
                  <c:v>0.66</c:v>
                </c:pt>
                <c:pt idx="10">
                  <c:v>1</c:v>
                </c:pt>
                <c:pt idx="11">
                  <c:v>1.33</c:v>
                </c:pt>
                <c:pt idx="12">
                  <c:v>1.76</c:v>
                </c:pt>
                <c:pt idx="13">
                  <c:v>2</c:v>
                </c:pt>
                <c:pt idx="14">
                  <c:v>0</c:v>
                </c:pt>
                <c:pt idx="15">
                  <c:v>0.43</c:v>
                </c:pt>
                <c:pt idx="16">
                  <c:v>0.66</c:v>
                </c:pt>
                <c:pt idx="17">
                  <c:v>1</c:v>
                </c:pt>
                <c:pt idx="18">
                  <c:v>1.33</c:v>
                </c:pt>
                <c:pt idx="19">
                  <c:v>1.76</c:v>
                </c:pt>
                <c:pt idx="20">
                  <c:v>2</c:v>
                </c:pt>
                <c:pt idx="21">
                  <c:v>0</c:v>
                </c:pt>
                <c:pt idx="22">
                  <c:v>0.43</c:v>
                </c:pt>
                <c:pt idx="23">
                  <c:v>0.66</c:v>
                </c:pt>
                <c:pt idx="24">
                  <c:v>1</c:v>
                </c:pt>
                <c:pt idx="25">
                  <c:v>1.33</c:v>
                </c:pt>
                <c:pt idx="26">
                  <c:v>1.76</c:v>
                </c:pt>
                <c:pt idx="27">
                  <c:v>2</c:v>
                </c:pt>
                <c:pt idx="28">
                  <c:v>0</c:v>
                </c:pt>
                <c:pt idx="29">
                  <c:v>0.43</c:v>
                </c:pt>
                <c:pt idx="30">
                  <c:v>0.66</c:v>
                </c:pt>
                <c:pt idx="31">
                  <c:v>1</c:v>
                </c:pt>
                <c:pt idx="32">
                  <c:v>1.33</c:v>
                </c:pt>
                <c:pt idx="33">
                  <c:v>1.76</c:v>
                </c:pt>
                <c:pt idx="34">
                  <c:v>2</c:v>
                </c:pt>
                <c:pt idx="35">
                  <c:v>0</c:v>
                </c:pt>
                <c:pt idx="36">
                  <c:v>0.43</c:v>
                </c:pt>
                <c:pt idx="37">
                  <c:v>0.66</c:v>
                </c:pt>
                <c:pt idx="38">
                  <c:v>1</c:v>
                </c:pt>
                <c:pt idx="39">
                  <c:v>1.33</c:v>
                </c:pt>
                <c:pt idx="40">
                  <c:v>1.76</c:v>
                </c:pt>
                <c:pt idx="41">
                  <c:v>2</c:v>
                </c:pt>
                <c:pt idx="42">
                  <c:v>0</c:v>
                </c:pt>
                <c:pt idx="43">
                  <c:v>0.43</c:v>
                </c:pt>
                <c:pt idx="44">
                  <c:v>0.66</c:v>
                </c:pt>
                <c:pt idx="45">
                  <c:v>1</c:v>
                </c:pt>
                <c:pt idx="46">
                  <c:v>1.33</c:v>
                </c:pt>
                <c:pt idx="47">
                  <c:v>1.76</c:v>
                </c:pt>
                <c:pt idx="48">
                  <c:v>2</c:v>
                </c:pt>
                <c:pt idx="49">
                  <c:v>0</c:v>
                </c:pt>
                <c:pt idx="50">
                  <c:v>0.43</c:v>
                </c:pt>
                <c:pt idx="51">
                  <c:v>0.66</c:v>
                </c:pt>
                <c:pt idx="52">
                  <c:v>1</c:v>
                </c:pt>
                <c:pt idx="53">
                  <c:v>1.33</c:v>
                </c:pt>
                <c:pt idx="54">
                  <c:v>1.76</c:v>
                </c:pt>
                <c:pt idx="55">
                  <c:v>2</c:v>
                </c:pt>
              </c:numCache>
            </c:numRef>
          </c:xVal>
          <c:yVal>
            <c:numRef>
              <c:f>'week8reox ph7'!$J$2:$J$57</c:f>
              <c:numCache>
                <c:formatCode>General</c:formatCode>
                <c:ptCount val="56"/>
                <c:pt idx="0">
                  <c:v>1</c:v>
                </c:pt>
                <c:pt idx="1">
                  <c:v>0.9107142857142857</c:v>
                </c:pt>
                <c:pt idx="2">
                  <c:v>0.79761904761904756</c:v>
                </c:pt>
                <c:pt idx="3">
                  <c:v>0.72023809523809523</c:v>
                </c:pt>
                <c:pt idx="4">
                  <c:v>0.64880952380952384</c:v>
                </c:pt>
                <c:pt idx="5">
                  <c:v>0.58333333333333337</c:v>
                </c:pt>
                <c:pt idx="6">
                  <c:v>0.5</c:v>
                </c:pt>
                <c:pt idx="14">
                  <c:v>1</c:v>
                </c:pt>
                <c:pt idx="15">
                  <c:v>0.88439306358381509</c:v>
                </c:pt>
                <c:pt idx="16">
                  <c:v>0.81502890173410403</c:v>
                </c:pt>
                <c:pt idx="17">
                  <c:v>0.7167630057803468</c:v>
                </c:pt>
                <c:pt idx="18">
                  <c:v>0.67052023121387283</c:v>
                </c:pt>
                <c:pt idx="19">
                  <c:v>0.560693641618497</c:v>
                </c:pt>
                <c:pt idx="20">
                  <c:v>0.50289017341040454</c:v>
                </c:pt>
                <c:pt idx="28">
                  <c:v>1</c:v>
                </c:pt>
                <c:pt idx="29">
                  <c:v>0.85365853658536583</c:v>
                </c:pt>
                <c:pt idx="30">
                  <c:v>0.70731707317073167</c:v>
                </c:pt>
                <c:pt idx="31">
                  <c:v>0.59146341463414631</c:v>
                </c:pt>
                <c:pt idx="32">
                  <c:v>0.49390243902439029</c:v>
                </c:pt>
                <c:pt idx="33">
                  <c:v>0.37804878048780488</c:v>
                </c:pt>
                <c:pt idx="34">
                  <c:v>0.31097560975609756</c:v>
                </c:pt>
                <c:pt idx="42">
                  <c:v>1</c:v>
                </c:pt>
                <c:pt idx="43">
                  <c:v>0.86538461538461542</c:v>
                </c:pt>
                <c:pt idx="44">
                  <c:v>0.70512820512820518</c:v>
                </c:pt>
                <c:pt idx="45">
                  <c:v>0.5641025641025641</c:v>
                </c:pt>
                <c:pt idx="46">
                  <c:v>0.4679487179487179</c:v>
                </c:pt>
                <c:pt idx="47">
                  <c:v>0.35897435897435898</c:v>
                </c:pt>
                <c:pt idx="48">
                  <c:v>0.23076923076923075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A51-4907-94A8-93DD5B5E7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5928726"/>
        <c:axId val="495845917"/>
      </c:scatterChart>
      <c:valAx>
        <c:axId val="79592872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0" i="0">
                    <a:solidFill>
                      <a:srgbClr val="000000"/>
                    </a:solidFill>
                    <a:latin typeface="+mn-lt"/>
                  </a:rPr>
                  <a:t>time (minute)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495845917"/>
        <c:crosses val="autoZero"/>
        <c:crossBetween val="midCat"/>
      </c:valAx>
      <c:valAx>
        <c:axId val="4958459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0" i="0">
                    <a:solidFill>
                      <a:srgbClr val="000000"/>
                    </a:solidFill>
                    <a:latin typeface="+mn-lt"/>
                  </a:rPr>
                  <a:t>Cl2free C/C0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795928726"/>
        <c:crosses val="autoZero"/>
        <c:crossBetween val="midCat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chart" Target="../charts/chart18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chart" Target="../charts/chart22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5.xml"/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7.xml"/><Relationship Id="rId1" Type="http://schemas.openxmlformats.org/officeDocument/2006/relationships/chart" Target="../charts/chart26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3.xml"/><Relationship Id="rId1" Type="http://schemas.openxmlformats.org/officeDocument/2006/relationships/chart" Target="../charts/chart3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5.xml"/><Relationship Id="rId1" Type="http://schemas.openxmlformats.org/officeDocument/2006/relationships/chart" Target="../charts/chart34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7.xml"/><Relationship Id="rId1" Type="http://schemas.openxmlformats.org/officeDocument/2006/relationships/chart" Target="../charts/chart3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1152525</xdr:colOff>
      <xdr:row>10</xdr:row>
      <xdr:rowOff>152400</xdr:rowOff>
    </xdr:from>
    <xdr:ext cx="4933950" cy="3371850"/>
    <xdr:graphicFrame macro="">
      <xdr:nvGraphicFramePr>
        <xdr:cNvPr id="840423934" name="Chart 1">
          <a:extLst>
            <a:ext uri="{FF2B5EF4-FFF2-40B4-BE49-F238E27FC236}">
              <a16:creationId xmlns:a16="http://schemas.microsoft.com/office/drawing/2014/main" id="{00000000-0008-0000-0000-0000FED917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1076325</xdr:colOff>
      <xdr:row>10</xdr:row>
      <xdr:rowOff>161925</xdr:rowOff>
    </xdr:from>
    <xdr:ext cx="4543425" cy="3371850"/>
    <xdr:graphicFrame macro="">
      <xdr:nvGraphicFramePr>
        <xdr:cNvPr id="1304588933" name="Chart 2">
          <a:extLst>
            <a:ext uri="{FF2B5EF4-FFF2-40B4-BE49-F238E27FC236}">
              <a16:creationId xmlns:a16="http://schemas.microsoft.com/office/drawing/2014/main" id="{00000000-0008-0000-0000-00008572C2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676275</xdr:colOff>
      <xdr:row>9</xdr:row>
      <xdr:rowOff>57150</xdr:rowOff>
    </xdr:from>
    <xdr:ext cx="3781425" cy="3000375"/>
    <xdr:graphicFrame macro="">
      <xdr:nvGraphicFramePr>
        <xdr:cNvPr id="1301640606" name="Chart 3">
          <a:extLst>
            <a:ext uri="{FF2B5EF4-FFF2-40B4-BE49-F238E27FC236}">
              <a16:creationId xmlns:a16="http://schemas.microsoft.com/office/drawing/2014/main" id="{00000000-0008-0000-0100-00009E7595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5</xdr:col>
      <xdr:colOff>266700</xdr:colOff>
      <xdr:row>9</xdr:row>
      <xdr:rowOff>38100</xdr:rowOff>
    </xdr:from>
    <xdr:ext cx="4591050" cy="3028950"/>
    <xdr:graphicFrame macro="">
      <xdr:nvGraphicFramePr>
        <xdr:cNvPr id="1064207234" name="Chart 4">
          <a:extLst>
            <a:ext uri="{FF2B5EF4-FFF2-40B4-BE49-F238E27FC236}">
              <a16:creationId xmlns:a16="http://schemas.microsoft.com/office/drawing/2014/main" id="{00000000-0008-0000-0100-000082836E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8</xdr:col>
      <xdr:colOff>657225</xdr:colOff>
      <xdr:row>25</xdr:row>
      <xdr:rowOff>9525</xdr:rowOff>
    </xdr:from>
    <xdr:ext cx="3800475" cy="2800350"/>
    <xdr:graphicFrame macro="">
      <xdr:nvGraphicFramePr>
        <xdr:cNvPr id="1236864750" name="Chart 5">
          <a:extLst>
            <a:ext uri="{FF2B5EF4-FFF2-40B4-BE49-F238E27FC236}">
              <a16:creationId xmlns:a16="http://schemas.microsoft.com/office/drawing/2014/main" id="{00000000-0008-0000-0100-0000EE0EB9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5</xdr:col>
      <xdr:colOff>257175</xdr:colOff>
      <xdr:row>25</xdr:row>
      <xdr:rowOff>0</xdr:rowOff>
    </xdr:from>
    <xdr:ext cx="4572000" cy="2876550"/>
    <xdr:graphicFrame macro="">
      <xdr:nvGraphicFramePr>
        <xdr:cNvPr id="2007077772" name="Chart 6">
          <a:extLst>
            <a:ext uri="{FF2B5EF4-FFF2-40B4-BE49-F238E27FC236}">
              <a16:creationId xmlns:a16="http://schemas.microsoft.com/office/drawing/2014/main" id="{00000000-0008-0000-0100-00008C93A1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1123950</xdr:colOff>
      <xdr:row>19</xdr:row>
      <xdr:rowOff>28575</xdr:rowOff>
    </xdr:from>
    <xdr:ext cx="3981450" cy="2924175"/>
    <xdr:graphicFrame macro="">
      <xdr:nvGraphicFramePr>
        <xdr:cNvPr id="513760537" name="Chart 7">
          <a:extLst>
            <a:ext uri="{FF2B5EF4-FFF2-40B4-BE49-F238E27FC236}">
              <a16:creationId xmlns:a16="http://schemas.microsoft.com/office/drawing/2014/main" id="{00000000-0008-0000-0200-0000195D9F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1009650</xdr:colOff>
      <xdr:row>19</xdr:row>
      <xdr:rowOff>19050</xdr:rowOff>
    </xdr:from>
    <xdr:ext cx="4086225" cy="2962275"/>
    <xdr:graphicFrame macro="">
      <xdr:nvGraphicFramePr>
        <xdr:cNvPr id="1335389067" name="Chart 8">
          <a:extLst>
            <a:ext uri="{FF2B5EF4-FFF2-40B4-BE49-F238E27FC236}">
              <a16:creationId xmlns:a16="http://schemas.microsoft.com/office/drawing/2014/main" id="{00000000-0008-0000-0200-00008B6B98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6</xdr:col>
      <xdr:colOff>1104900</xdr:colOff>
      <xdr:row>35</xdr:row>
      <xdr:rowOff>9525</xdr:rowOff>
    </xdr:from>
    <xdr:ext cx="4000500" cy="2733675"/>
    <xdr:graphicFrame macro="">
      <xdr:nvGraphicFramePr>
        <xdr:cNvPr id="1782941475" name="Chart 9">
          <a:extLst>
            <a:ext uri="{FF2B5EF4-FFF2-40B4-BE49-F238E27FC236}">
              <a16:creationId xmlns:a16="http://schemas.microsoft.com/office/drawing/2014/main" id="{00000000-0008-0000-0200-0000238745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</xdr:col>
      <xdr:colOff>1000125</xdr:colOff>
      <xdr:row>35</xdr:row>
      <xdr:rowOff>0</xdr:rowOff>
    </xdr:from>
    <xdr:ext cx="4076700" cy="2819400"/>
    <xdr:graphicFrame macro="">
      <xdr:nvGraphicFramePr>
        <xdr:cNvPr id="1799152164" name="Chart 10">
          <a:extLst>
            <a:ext uri="{FF2B5EF4-FFF2-40B4-BE49-F238E27FC236}">
              <a16:creationId xmlns:a16="http://schemas.microsoft.com/office/drawing/2014/main" id="{00000000-0008-0000-0200-000024E23C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1200150</xdr:colOff>
      <xdr:row>19</xdr:row>
      <xdr:rowOff>19050</xdr:rowOff>
    </xdr:from>
    <xdr:ext cx="3981450" cy="2924175"/>
    <xdr:graphicFrame macro="">
      <xdr:nvGraphicFramePr>
        <xdr:cNvPr id="1674058003" name="Chart 11">
          <a:extLst>
            <a:ext uri="{FF2B5EF4-FFF2-40B4-BE49-F238E27FC236}">
              <a16:creationId xmlns:a16="http://schemas.microsoft.com/office/drawing/2014/main" id="{00000000-0008-0000-0300-00001319C8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1085850</xdr:colOff>
      <xdr:row>19</xdr:row>
      <xdr:rowOff>0</xdr:rowOff>
    </xdr:from>
    <xdr:ext cx="4086225" cy="2962275"/>
    <xdr:graphicFrame macro="">
      <xdr:nvGraphicFramePr>
        <xdr:cNvPr id="188851445" name="Chart 12">
          <a:extLst>
            <a:ext uri="{FF2B5EF4-FFF2-40B4-BE49-F238E27FC236}">
              <a16:creationId xmlns:a16="http://schemas.microsoft.com/office/drawing/2014/main" id="{00000000-0008-0000-0300-0000F5A441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6</xdr:col>
      <xdr:colOff>1181100</xdr:colOff>
      <xdr:row>35</xdr:row>
      <xdr:rowOff>0</xdr:rowOff>
    </xdr:from>
    <xdr:ext cx="4000500" cy="2733675"/>
    <xdr:graphicFrame macro="">
      <xdr:nvGraphicFramePr>
        <xdr:cNvPr id="1550110672" name="Chart 13">
          <a:extLst>
            <a:ext uri="{FF2B5EF4-FFF2-40B4-BE49-F238E27FC236}">
              <a16:creationId xmlns:a16="http://schemas.microsoft.com/office/drawing/2014/main" id="{00000000-0008-0000-0300-0000D0CF64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</xdr:col>
      <xdr:colOff>1076325</xdr:colOff>
      <xdr:row>34</xdr:row>
      <xdr:rowOff>171450</xdr:rowOff>
    </xdr:from>
    <xdr:ext cx="4076700" cy="2838450"/>
    <xdr:graphicFrame macro="">
      <xdr:nvGraphicFramePr>
        <xdr:cNvPr id="1553930969" name="Chart 14">
          <a:extLst>
            <a:ext uri="{FF2B5EF4-FFF2-40B4-BE49-F238E27FC236}">
              <a16:creationId xmlns:a16="http://schemas.microsoft.com/office/drawing/2014/main" id="{00000000-0008-0000-0300-0000D91A9F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1200150</xdr:colOff>
      <xdr:row>17</xdr:row>
      <xdr:rowOff>19050</xdr:rowOff>
    </xdr:from>
    <xdr:ext cx="3981450" cy="2924175"/>
    <xdr:graphicFrame macro="">
      <xdr:nvGraphicFramePr>
        <xdr:cNvPr id="340797673" name="Chart 15">
          <a:extLst>
            <a:ext uri="{FF2B5EF4-FFF2-40B4-BE49-F238E27FC236}">
              <a16:creationId xmlns:a16="http://schemas.microsoft.com/office/drawing/2014/main" id="{00000000-0008-0000-0400-0000E92850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1085850</xdr:colOff>
      <xdr:row>17</xdr:row>
      <xdr:rowOff>0</xdr:rowOff>
    </xdr:from>
    <xdr:ext cx="4086225" cy="2962275"/>
    <xdr:graphicFrame macro="">
      <xdr:nvGraphicFramePr>
        <xdr:cNvPr id="1803901832" name="Chart 16">
          <a:extLst>
            <a:ext uri="{FF2B5EF4-FFF2-40B4-BE49-F238E27FC236}">
              <a16:creationId xmlns:a16="http://schemas.microsoft.com/office/drawing/2014/main" id="{00000000-0008-0000-0400-0000885B85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6</xdr:col>
      <xdr:colOff>1181100</xdr:colOff>
      <xdr:row>33</xdr:row>
      <xdr:rowOff>0</xdr:rowOff>
    </xdr:from>
    <xdr:ext cx="4000500" cy="2733675"/>
    <xdr:graphicFrame macro="">
      <xdr:nvGraphicFramePr>
        <xdr:cNvPr id="156516068" name="Chart 17">
          <a:extLst>
            <a:ext uri="{FF2B5EF4-FFF2-40B4-BE49-F238E27FC236}">
              <a16:creationId xmlns:a16="http://schemas.microsoft.com/office/drawing/2014/main" id="{00000000-0008-0000-0400-0000E43E54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2</xdr:col>
      <xdr:colOff>1076325</xdr:colOff>
      <xdr:row>32</xdr:row>
      <xdr:rowOff>171450</xdr:rowOff>
    </xdr:from>
    <xdr:ext cx="4076700" cy="2838450"/>
    <xdr:graphicFrame macro="">
      <xdr:nvGraphicFramePr>
        <xdr:cNvPr id="584897273" name="Chart 18">
          <a:extLst>
            <a:ext uri="{FF2B5EF4-FFF2-40B4-BE49-F238E27FC236}">
              <a16:creationId xmlns:a16="http://schemas.microsoft.com/office/drawing/2014/main" id="{00000000-0008-0000-0400-0000F9D2DC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1114425</xdr:colOff>
      <xdr:row>33</xdr:row>
      <xdr:rowOff>152400</xdr:rowOff>
    </xdr:from>
    <xdr:ext cx="3962400" cy="2943225"/>
    <xdr:graphicFrame macro="">
      <xdr:nvGraphicFramePr>
        <xdr:cNvPr id="448600974" name="Chart 19">
          <a:extLst>
            <a:ext uri="{FF2B5EF4-FFF2-40B4-BE49-F238E27FC236}">
              <a16:creationId xmlns:a16="http://schemas.microsoft.com/office/drawing/2014/main" id="{00000000-0008-0000-0500-00008E1BBD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1095375</xdr:colOff>
      <xdr:row>49</xdr:row>
      <xdr:rowOff>133350</xdr:rowOff>
    </xdr:from>
    <xdr:ext cx="3981450" cy="2752725"/>
    <xdr:graphicFrame macro="">
      <xdr:nvGraphicFramePr>
        <xdr:cNvPr id="1508854561" name="Chart 20">
          <a:extLst>
            <a:ext uri="{FF2B5EF4-FFF2-40B4-BE49-F238E27FC236}">
              <a16:creationId xmlns:a16="http://schemas.microsoft.com/office/drawing/2014/main" id="{00000000-0008-0000-0500-0000214BEF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6</xdr:col>
      <xdr:colOff>809625</xdr:colOff>
      <xdr:row>49</xdr:row>
      <xdr:rowOff>123825</xdr:rowOff>
    </xdr:from>
    <xdr:ext cx="4105275" cy="2819400"/>
    <xdr:graphicFrame macro="">
      <xdr:nvGraphicFramePr>
        <xdr:cNvPr id="1038664250" name="Chart 21">
          <a:extLst>
            <a:ext uri="{FF2B5EF4-FFF2-40B4-BE49-F238E27FC236}">
              <a16:creationId xmlns:a16="http://schemas.microsoft.com/office/drawing/2014/main" id="{00000000-0008-0000-0500-00003AC2E8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12</xdr:col>
      <xdr:colOff>1057275</xdr:colOff>
      <xdr:row>50</xdr:row>
      <xdr:rowOff>38100</xdr:rowOff>
    </xdr:from>
    <xdr:ext cx="3876675" cy="2733675"/>
    <xdr:graphicFrame macro="">
      <xdr:nvGraphicFramePr>
        <xdr:cNvPr id="2076711628" name="Chart 22">
          <a:extLst>
            <a:ext uri="{FF2B5EF4-FFF2-40B4-BE49-F238E27FC236}">
              <a16:creationId xmlns:a16="http://schemas.microsoft.com/office/drawing/2014/main" id="{00000000-0008-0000-0500-0000CC1AC8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419100</xdr:colOff>
      <xdr:row>19</xdr:row>
      <xdr:rowOff>28575</xdr:rowOff>
    </xdr:from>
    <xdr:ext cx="4267200" cy="3409950"/>
    <xdr:graphicFrame macro="">
      <xdr:nvGraphicFramePr>
        <xdr:cNvPr id="1744888580" name="Chart 23">
          <a:extLst>
            <a:ext uri="{FF2B5EF4-FFF2-40B4-BE49-F238E27FC236}">
              <a16:creationId xmlns:a16="http://schemas.microsoft.com/office/drawing/2014/main" id="{00000000-0008-0000-0600-000004E300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352425</xdr:colOff>
      <xdr:row>19</xdr:row>
      <xdr:rowOff>66675</xdr:rowOff>
    </xdr:from>
    <xdr:ext cx="4324350" cy="3409950"/>
    <xdr:graphicFrame macro="">
      <xdr:nvGraphicFramePr>
        <xdr:cNvPr id="20155021" name="Chart 24">
          <a:extLst>
            <a:ext uri="{FF2B5EF4-FFF2-40B4-BE49-F238E27FC236}">
              <a16:creationId xmlns:a16="http://schemas.microsoft.com/office/drawing/2014/main" id="{00000000-0008-0000-0600-00008D8A33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9</xdr:col>
      <xdr:colOff>409575</xdr:colOff>
      <xdr:row>19</xdr:row>
      <xdr:rowOff>57150</xdr:rowOff>
    </xdr:from>
    <xdr:ext cx="5362575" cy="3390900"/>
    <xdr:graphicFrame macro="">
      <xdr:nvGraphicFramePr>
        <xdr:cNvPr id="1185936414" name="Chart 25">
          <a:extLst>
            <a:ext uri="{FF2B5EF4-FFF2-40B4-BE49-F238E27FC236}">
              <a16:creationId xmlns:a16="http://schemas.microsoft.com/office/drawing/2014/main" id="{00000000-0008-0000-0600-00001EF4AF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752475</xdr:colOff>
      <xdr:row>23</xdr:row>
      <xdr:rowOff>133350</xdr:rowOff>
    </xdr:from>
    <xdr:ext cx="5534025" cy="4038600"/>
    <xdr:graphicFrame macro="">
      <xdr:nvGraphicFramePr>
        <xdr:cNvPr id="1675271901" name="Chart 26">
          <a:extLst>
            <a:ext uri="{FF2B5EF4-FFF2-40B4-BE49-F238E27FC236}">
              <a16:creationId xmlns:a16="http://schemas.microsoft.com/office/drawing/2014/main" id="{00000000-0008-0000-0700-0000DD9EDA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628650</xdr:colOff>
      <xdr:row>23</xdr:row>
      <xdr:rowOff>123825</xdr:rowOff>
    </xdr:from>
    <xdr:ext cx="5172075" cy="3524250"/>
    <xdr:graphicFrame macro="">
      <xdr:nvGraphicFramePr>
        <xdr:cNvPr id="31210738" name="Chart 27">
          <a:extLst>
            <a:ext uri="{FF2B5EF4-FFF2-40B4-BE49-F238E27FC236}">
              <a16:creationId xmlns:a16="http://schemas.microsoft.com/office/drawing/2014/main" id="{00000000-0008-0000-0700-0000F23CDC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1219200</xdr:colOff>
      <xdr:row>21</xdr:row>
      <xdr:rowOff>152400</xdr:rowOff>
    </xdr:from>
    <xdr:ext cx="5905500" cy="4057650"/>
    <xdr:graphicFrame macro="">
      <xdr:nvGraphicFramePr>
        <xdr:cNvPr id="923621868" name="Chart 28">
          <a:extLst>
            <a:ext uri="{FF2B5EF4-FFF2-40B4-BE49-F238E27FC236}">
              <a16:creationId xmlns:a16="http://schemas.microsoft.com/office/drawing/2014/main" id="{00000000-0008-0000-0800-0000EC590D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104775</xdr:colOff>
      <xdr:row>21</xdr:row>
      <xdr:rowOff>123825</xdr:rowOff>
    </xdr:from>
    <xdr:ext cx="5886450" cy="4029075"/>
    <xdr:graphicFrame macro="">
      <xdr:nvGraphicFramePr>
        <xdr:cNvPr id="1133699252" name="Chart 29">
          <a:extLst>
            <a:ext uri="{FF2B5EF4-FFF2-40B4-BE49-F238E27FC236}">
              <a16:creationId xmlns:a16="http://schemas.microsoft.com/office/drawing/2014/main" id="{00000000-0008-0000-0800-0000B4E092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866775</xdr:colOff>
      <xdr:row>29</xdr:row>
      <xdr:rowOff>95250</xdr:rowOff>
    </xdr:from>
    <xdr:ext cx="5800725" cy="4038600"/>
    <xdr:graphicFrame macro="">
      <xdr:nvGraphicFramePr>
        <xdr:cNvPr id="2142652631" name="Chart 30">
          <a:extLst>
            <a:ext uri="{FF2B5EF4-FFF2-40B4-BE49-F238E27FC236}">
              <a16:creationId xmlns:a16="http://schemas.microsoft.com/office/drawing/2014/main" id="{00000000-0008-0000-0900-0000D748B6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266700</xdr:colOff>
      <xdr:row>29</xdr:row>
      <xdr:rowOff>104775</xdr:rowOff>
    </xdr:from>
    <xdr:ext cx="5372100" cy="4048125"/>
    <xdr:graphicFrame macro="">
      <xdr:nvGraphicFramePr>
        <xdr:cNvPr id="2116589761" name="Chart 31">
          <a:extLst>
            <a:ext uri="{FF2B5EF4-FFF2-40B4-BE49-F238E27FC236}">
              <a16:creationId xmlns:a16="http://schemas.microsoft.com/office/drawing/2014/main" id="{00000000-0008-0000-0900-0000C19828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447675</xdr:colOff>
      <xdr:row>58</xdr:row>
      <xdr:rowOff>152400</xdr:rowOff>
    </xdr:from>
    <xdr:ext cx="7000875" cy="4057650"/>
    <xdr:graphicFrame macro="">
      <xdr:nvGraphicFramePr>
        <xdr:cNvPr id="1423584282" name="Chart 32">
          <a:extLst>
            <a:ext uri="{FF2B5EF4-FFF2-40B4-BE49-F238E27FC236}">
              <a16:creationId xmlns:a16="http://schemas.microsoft.com/office/drawing/2014/main" id="{00000000-0008-0000-0A00-00001A2CDA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</xdr:col>
      <xdr:colOff>447675</xdr:colOff>
      <xdr:row>44</xdr:row>
      <xdr:rowOff>76200</xdr:rowOff>
    </xdr:from>
    <xdr:ext cx="6105525" cy="4048125"/>
    <xdr:graphicFrame macro="">
      <xdr:nvGraphicFramePr>
        <xdr:cNvPr id="686845543" name="Chart 33" title="Chart">
          <a:extLst>
            <a:ext uri="{FF2B5EF4-FFF2-40B4-BE49-F238E27FC236}">
              <a16:creationId xmlns:a16="http://schemas.microsoft.com/office/drawing/2014/main" id="{00000000-0008-0000-0A00-0000676EF0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28575</xdr:colOff>
      <xdr:row>59</xdr:row>
      <xdr:rowOff>142875</xdr:rowOff>
    </xdr:from>
    <xdr:ext cx="8848725" cy="4038600"/>
    <xdr:graphicFrame macro="">
      <xdr:nvGraphicFramePr>
        <xdr:cNvPr id="461694774" name="Chart 34">
          <a:extLst>
            <a:ext uri="{FF2B5EF4-FFF2-40B4-BE49-F238E27FC236}">
              <a16:creationId xmlns:a16="http://schemas.microsoft.com/office/drawing/2014/main" id="{00000000-0008-0000-0B00-000036E784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9</xdr:col>
      <xdr:colOff>962025</xdr:colOff>
      <xdr:row>60</xdr:row>
      <xdr:rowOff>104775</xdr:rowOff>
    </xdr:from>
    <xdr:ext cx="6200775" cy="4048125"/>
    <xdr:graphicFrame macro="">
      <xdr:nvGraphicFramePr>
        <xdr:cNvPr id="2105977646" name="Chart 35">
          <a:extLst>
            <a:ext uri="{FF2B5EF4-FFF2-40B4-BE49-F238E27FC236}">
              <a16:creationId xmlns:a16="http://schemas.microsoft.com/office/drawing/2014/main" id="{00000000-0008-0000-0B00-00002EAB86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28575</xdr:colOff>
      <xdr:row>59</xdr:row>
      <xdr:rowOff>142875</xdr:rowOff>
    </xdr:from>
    <xdr:ext cx="11515725" cy="4038600"/>
    <xdr:graphicFrame macro="">
      <xdr:nvGraphicFramePr>
        <xdr:cNvPr id="632127822" name="Chart 36">
          <a:extLst>
            <a:ext uri="{FF2B5EF4-FFF2-40B4-BE49-F238E27FC236}">
              <a16:creationId xmlns:a16="http://schemas.microsoft.com/office/drawing/2014/main" id="{00000000-0008-0000-0C00-00004E81AD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10</xdr:col>
      <xdr:colOff>962025</xdr:colOff>
      <xdr:row>60</xdr:row>
      <xdr:rowOff>104775</xdr:rowOff>
    </xdr:from>
    <xdr:ext cx="6200775" cy="4048125"/>
    <xdr:graphicFrame macro="">
      <xdr:nvGraphicFramePr>
        <xdr:cNvPr id="790092544" name="Chart 37">
          <a:extLst>
            <a:ext uri="{FF2B5EF4-FFF2-40B4-BE49-F238E27FC236}">
              <a16:creationId xmlns:a16="http://schemas.microsoft.com/office/drawing/2014/main" id="{00000000-0008-0000-0C00-000000DB17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Q57">
  <tableColumns count="17">
    <tableColumn id="1" xr3:uid="{00000000-0010-0000-0000-000001000000}" name="time(minute)"/>
    <tableColumn id="2" xr3:uid="{00000000-0010-0000-0000-000002000000}" name="pH"/>
    <tableColumn id="3" xr3:uid="{00000000-0010-0000-0000-000003000000}" name="experiment replicate"/>
    <tableColumn id="4" xr3:uid="{00000000-0010-0000-0000-000004000000}" name="sample replicate"/>
    <tableColumn id="5" xr3:uid="{00000000-0010-0000-0000-000005000000}" name="UV"/>
    <tableColumn id="6" xr3:uid="{00000000-0010-0000-0000-000006000000}" name="Nominal Cl2(0)"/>
    <tableColumn id="7" xr3:uid="{00000000-0010-0000-0000-000007000000}" name="Cl2free (mgCl2/L) diluted x5"/>
    <tableColumn id="8" xr3:uid="{00000000-0010-0000-0000-000008000000}" name="DPD dilution factor "/>
    <tableColumn id="9" xr3:uid="{00000000-0010-0000-0000-000009000000}" name="Cl2free (mgCl2/L)"/>
    <tableColumn id="10" xr3:uid="{00000000-0010-0000-0000-00000A000000}" name="Cl2free C/C0"/>
    <tableColumn id="11" xr3:uid="{00000000-0010-0000-0000-00000B000000}" name="Phosphate buffer (mM)"/>
    <tableColumn id="12" xr3:uid="{00000000-0010-0000-0000-00000C000000}" name="dioxane (microgram/L)"/>
    <tableColumn id="13" xr3:uid="{00000000-0010-0000-0000-00000D000000}" name="dioxane C/C0"/>
    <tableColumn id="14" xr3:uid="{00000000-0010-0000-0000-00000E000000}" name="caffeine (microgam/L)"/>
    <tableColumn id="15" xr3:uid="{00000000-0010-0000-0000-00000F000000}" name="caffeine C/C0"/>
    <tableColumn id="16" xr3:uid="{00000000-0010-0000-0000-000010000000}" name="sucralose (microgram/L"/>
    <tableColumn id="17" xr3:uid="{00000000-0010-0000-0000-000011000000}" name="sucralose C/C0"/>
  </tableColumns>
  <tableStyleInfo name="week8reox ph5&amp;8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Q57">
  <tableColumns count="17">
    <tableColumn id="1" xr3:uid="{00000000-0010-0000-0100-000001000000}" name="time(minute)"/>
    <tableColumn id="2" xr3:uid="{00000000-0010-0000-0100-000002000000}" name="pH"/>
    <tableColumn id="3" xr3:uid="{00000000-0010-0000-0100-000003000000}" name="experiment replicate"/>
    <tableColumn id="4" xr3:uid="{00000000-0010-0000-0100-000004000000}" name="sample replicate"/>
    <tableColumn id="5" xr3:uid="{00000000-0010-0000-0100-000005000000}" name="UV"/>
    <tableColumn id="6" xr3:uid="{00000000-0010-0000-0100-000006000000}" name="Nominal Cl2(0)"/>
    <tableColumn id="7" xr3:uid="{00000000-0010-0000-0100-000007000000}" name="Cl2free (mgCl2/L) diluted x5"/>
    <tableColumn id="8" xr3:uid="{00000000-0010-0000-0100-000008000000}" name="DPD dilution factor "/>
    <tableColumn id="9" xr3:uid="{00000000-0010-0000-0100-000009000000}" name="Cl2free (mgCl2/L)"/>
    <tableColumn id="10" xr3:uid="{00000000-0010-0000-0100-00000A000000}" name="Cl2free C/C0"/>
    <tableColumn id="11" xr3:uid="{00000000-0010-0000-0100-00000B000000}" name="Phosphate buffer (mM)"/>
    <tableColumn id="12" xr3:uid="{00000000-0010-0000-0100-00000C000000}" name="dioxane (microgram/L)"/>
    <tableColumn id="13" xr3:uid="{00000000-0010-0000-0100-00000D000000}" name="dioxane C/C0"/>
    <tableColumn id="14" xr3:uid="{00000000-0010-0000-0100-00000E000000}" name="caffeine (microgam/L)"/>
    <tableColumn id="15" xr3:uid="{00000000-0010-0000-0100-00000F000000}" name="caffeine C/C0"/>
    <tableColumn id="16" xr3:uid="{00000000-0010-0000-0100-000010000000}" name="sucralose (microgram/L"/>
    <tableColumn id="17" xr3:uid="{00000000-0010-0000-0100-000011000000}" name="sucralose C/C0"/>
  </tableColumns>
  <tableStyleInfo name="week8reox ph7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workbookViewId="0"/>
  </sheetViews>
  <sheetFormatPr baseColWidth="10" defaultColWidth="14.42578125" defaultRowHeight="15" customHeight="1"/>
  <cols>
    <col min="1" max="1" width="19.85546875" customWidth="1"/>
    <col min="2" max="2" width="22.85546875" customWidth="1"/>
    <col min="3" max="3" width="16.85546875" customWidth="1"/>
    <col min="4" max="4" width="8.7109375" customWidth="1"/>
    <col min="5" max="5" width="22.140625" customWidth="1"/>
    <col min="6" max="7" width="21.5703125" customWidth="1"/>
    <col min="8" max="8" width="20.28515625" customWidth="1"/>
    <col min="9" max="9" width="20.42578125" customWidth="1"/>
    <col min="10" max="10" width="15" customWidth="1"/>
    <col min="11" max="26" width="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0</v>
      </c>
      <c r="B2" s="1">
        <v>0.1</v>
      </c>
      <c r="C2" s="1">
        <v>10</v>
      </c>
      <c r="D2" s="1">
        <v>7</v>
      </c>
      <c r="E2" s="1">
        <v>2</v>
      </c>
      <c r="F2" s="1">
        <f t="shared" ref="F2:F9" si="0">1</f>
        <v>1</v>
      </c>
      <c r="G2" s="1">
        <f t="shared" ref="G2:G9" si="1">F2*88.11</f>
        <v>88.11</v>
      </c>
      <c r="I2" s="1">
        <f>G2</f>
        <v>88.11</v>
      </c>
      <c r="J2" s="1">
        <f t="shared" ref="J2:J9" si="2">I2/$G$2</f>
        <v>1</v>
      </c>
    </row>
    <row r="3" spans="1:10">
      <c r="A3" s="1">
        <v>5</v>
      </c>
      <c r="B3" s="1">
        <v>0.1</v>
      </c>
      <c r="C3" s="1">
        <v>10</v>
      </c>
      <c r="D3" s="1">
        <v>7</v>
      </c>
      <c r="E3" s="1">
        <v>2</v>
      </c>
      <c r="F3" s="1">
        <f t="shared" si="0"/>
        <v>1</v>
      </c>
      <c r="G3" s="1">
        <f t="shared" si="1"/>
        <v>88.11</v>
      </c>
      <c r="I3" s="1">
        <v>114.477</v>
      </c>
      <c r="J3" s="1">
        <f t="shared" si="2"/>
        <v>1.2992509363295881</v>
      </c>
    </row>
    <row r="4" spans="1:10">
      <c r="A4" s="1">
        <v>20</v>
      </c>
      <c r="B4" s="1">
        <v>0.1</v>
      </c>
      <c r="C4" s="1">
        <v>10</v>
      </c>
      <c r="D4" s="1">
        <v>7</v>
      </c>
      <c r="E4" s="1">
        <v>2</v>
      </c>
      <c r="F4" s="1">
        <f t="shared" si="0"/>
        <v>1</v>
      </c>
      <c r="G4" s="1">
        <f t="shared" si="1"/>
        <v>88.11</v>
      </c>
      <c r="I4" s="1">
        <v>94.03</v>
      </c>
      <c r="J4" s="1">
        <f t="shared" si="2"/>
        <v>1.0671887413460448</v>
      </c>
    </row>
    <row r="5" spans="1:10">
      <c r="A5" s="1">
        <v>35</v>
      </c>
      <c r="B5" s="1">
        <v>0.1</v>
      </c>
      <c r="C5" s="1">
        <v>10</v>
      </c>
      <c r="D5" s="1">
        <v>7</v>
      </c>
      <c r="E5" s="1">
        <v>2</v>
      </c>
      <c r="F5" s="1">
        <f t="shared" si="0"/>
        <v>1</v>
      </c>
      <c r="G5" s="1">
        <f t="shared" si="1"/>
        <v>88.11</v>
      </c>
      <c r="H5" s="1">
        <v>2.8</v>
      </c>
      <c r="I5" s="1">
        <v>87.72</v>
      </c>
      <c r="J5" s="1">
        <f t="shared" si="2"/>
        <v>0.99557371467483824</v>
      </c>
    </row>
    <row r="6" spans="1:10">
      <c r="A6" s="1">
        <v>0</v>
      </c>
      <c r="B6" s="1">
        <v>0</v>
      </c>
      <c r="C6" s="1">
        <v>10</v>
      </c>
      <c r="D6" s="1">
        <v>7</v>
      </c>
      <c r="E6" s="1">
        <v>2</v>
      </c>
      <c r="F6" s="1">
        <f t="shared" si="0"/>
        <v>1</v>
      </c>
      <c r="G6" s="1">
        <f t="shared" si="1"/>
        <v>88.11</v>
      </c>
      <c r="I6" s="1">
        <f>G6</f>
        <v>88.11</v>
      </c>
      <c r="J6" s="1">
        <f t="shared" si="2"/>
        <v>1</v>
      </c>
    </row>
    <row r="7" spans="1:10">
      <c r="A7" s="1">
        <v>5</v>
      </c>
      <c r="B7" s="1">
        <v>0</v>
      </c>
      <c r="C7" s="1">
        <v>10</v>
      </c>
      <c r="D7" s="1">
        <v>7</v>
      </c>
      <c r="E7" s="1">
        <v>2</v>
      </c>
      <c r="F7" s="1">
        <f t="shared" si="0"/>
        <v>1</v>
      </c>
      <c r="G7" s="1">
        <f t="shared" si="1"/>
        <v>88.11</v>
      </c>
      <c r="I7" s="1">
        <v>117.69</v>
      </c>
      <c r="J7" s="1">
        <f t="shared" si="2"/>
        <v>1.3357167177391895</v>
      </c>
    </row>
    <row r="8" spans="1:10">
      <c r="A8" s="1">
        <v>20</v>
      </c>
      <c r="B8" s="1">
        <v>0</v>
      </c>
      <c r="C8" s="1">
        <v>10</v>
      </c>
      <c r="D8" s="1">
        <v>7</v>
      </c>
      <c r="E8" s="1">
        <v>2</v>
      </c>
      <c r="F8" s="1">
        <f t="shared" si="0"/>
        <v>1</v>
      </c>
      <c r="G8" s="1">
        <f t="shared" si="1"/>
        <v>88.11</v>
      </c>
      <c r="I8" s="1">
        <v>110.97</v>
      </c>
      <c r="J8" s="1">
        <f t="shared" si="2"/>
        <v>1.2594484167517874</v>
      </c>
    </row>
    <row r="9" spans="1:10">
      <c r="A9" s="1">
        <v>35</v>
      </c>
      <c r="B9" s="1">
        <v>0</v>
      </c>
      <c r="C9" s="1">
        <v>10</v>
      </c>
      <c r="D9" s="1">
        <v>7</v>
      </c>
      <c r="E9" s="1">
        <v>2</v>
      </c>
      <c r="F9" s="1">
        <f t="shared" si="0"/>
        <v>1</v>
      </c>
      <c r="G9" s="1">
        <f t="shared" si="1"/>
        <v>88.11</v>
      </c>
      <c r="H9" s="1">
        <v>7.6</v>
      </c>
      <c r="I9" s="1">
        <v>111.81</v>
      </c>
      <c r="J9" s="1">
        <f t="shared" si="2"/>
        <v>1.2689819543752128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workbookViewId="0"/>
  </sheetViews>
  <sheetFormatPr baseColWidth="10" defaultColWidth="14.42578125" defaultRowHeight="15" customHeight="1"/>
  <cols>
    <col min="1" max="2" width="19.85546875" customWidth="1"/>
    <col min="3" max="3" width="16.85546875" customWidth="1"/>
    <col min="4" max="4" width="8.7109375" customWidth="1"/>
    <col min="5" max="5" width="22.140625" customWidth="1"/>
    <col min="6" max="7" width="21.5703125" customWidth="1"/>
    <col min="8" max="8" width="20.28515625" customWidth="1"/>
    <col min="9" max="9" width="21.85546875" customWidth="1"/>
    <col min="10" max="10" width="18.7109375" customWidth="1"/>
    <col min="11" max="26" width="8.7109375" customWidth="1"/>
  </cols>
  <sheetData>
    <row r="1" spans="1:10">
      <c r="A1" s="1" t="s">
        <v>0</v>
      </c>
      <c r="B1" s="1" t="s">
        <v>10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>
        <v>0</v>
      </c>
      <c r="B2" s="1">
        <v>0.1</v>
      </c>
      <c r="C2" s="1">
        <v>10</v>
      </c>
      <c r="D2" s="1">
        <v>7.1</v>
      </c>
      <c r="E2" s="1">
        <v>2</v>
      </c>
      <c r="F2" s="2">
        <v>1</v>
      </c>
      <c r="G2" s="3">
        <f t="shared" ref="G2:G9" si="0">F2*88.11</f>
        <v>88.11</v>
      </c>
      <c r="H2" s="1">
        <v>9.6</v>
      </c>
      <c r="I2" s="3">
        <f>G2</f>
        <v>88.11</v>
      </c>
      <c r="J2" s="3">
        <f t="shared" ref="J2:J9" si="1">I2/$G$2</f>
        <v>1</v>
      </c>
    </row>
    <row r="3" spans="1:10">
      <c r="A3" s="1">
        <v>10</v>
      </c>
      <c r="B3" s="1">
        <v>0.1</v>
      </c>
      <c r="C3" s="1">
        <v>10</v>
      </c>
      <c r="D3" s="1">
        <v>7.1</v>
      </c>
      <c r="E3" s="1">
        <v>2</v>
      </c>
      <c r="F3" s="2">
        <v>1</v>
      </c>
      <c r="G3" s="3">
        <f t="shared" si="0"/>
        <v>88.11</v>
      </c>
      <c r="H3" s="1">
        <v>7.7</v>
      </c>
      <c r="I3" s="1">
        <v>83.986400000000003</v>
      </c>
      <c r="J3" s="3">
        <f t="shared" si="1"/>
        <v>0.95319940982862339</v>
      </c>
    </row>
    <row r="4" spans="1:10">
      <c r="A4" s="1">
        <v>20</v>
      </c>
      <c r="B4" s="1">
        <v>0.1</v>
      </c>
      <c r="C4" s="1">
        <v>10</v>
      </c>
      <c r="D4" s="1">
        <v>7.1</v>
      </c>
      <c r="E4" s="1">
        <v>2</v>
      </c>
      <c r="F4" s="2">
        <v>1</v>
      </c>
      <c r="G4" s="3">
        <f t="shared" si="0"/>
        <v>88.11</v>
      </c>
      <c r="H4" s="1">
        <v>6.8</v>
      </c>
      <c r="I4" s="1">
        <v>62.191400000000002</v>
      </c>
      <c r="J4" s="3">
        <f t="shared" si="1"/>
        <v>0.70583815684939277</v>
      </c>
    </row>
    <row r="5" spans="1:10">
      <c r="A5" s="1">
        <v>30</v>
      </c>
      <c r="B5" s="1">
        <v>0.1</v>
      </c>
      <c r="C5" s="1">
        <v>10</v>
      </c>
      <c r="D5" s="1">
        <v>7.1</v>
      </c>
      <c r="E5" s="1">
        <v>2</v>
      </c>
      <c r="F5" s="2">
        <v>1</v>
      </c>
      <c r="G5" s="3">
        <f t="shared" si="0"/>
        <v>88.11</v>
      </c>
      <c r="H5" s="1">
        <v>6.4</v>
      </c>
      <c r="I5" s="1">
        <v>84.936800000000005</v>
      </c>
      <c r="J5" s="3">
        <f t="shared" si="1"/>
        <v>0.963985926682556</v>
      </c>
    </row>
    <row r="6" spans="1:10">
      <c r="A6" s="1">
        <v>0</v>
      </c>
      <c r="B6" s="1">
        <v>0</v>
      </c>
      <c r="C6" s="1">
        <v>10</v>
      </c>
      <c r="D6" s="1">
        <v>7.1</v>
      </c>
      <c r="E6" s="1">
        <v>2</v>
      </c>
      <c r="F6" s="2">
        <v>1</v>
      </c>
      <c r="G6" s="3">
        <f t="shared" si="0"/>
        <v>88.11</v>
      </c>
      <c r="H6" s="1">
        <v>9.5</v>
      </c>
      <c r="I6" s="3">
        <f>G6</f>
        <v>88.11</v>
      </c>
      <c r="J6" s="3">
        <f t="shared" si="1"/>
        <v>1</v>
      </c>
    </row>
    <row r="7" spans="1:10">
      <c r="A7" s="1">
        <v>10</v>
      </c>
      <c r="B7" s="1">
        <v>0</v>
      </c>
      <c r="C7" s="1">
        <v>10</v>
      </c>
      <c r="D7" s="1">
        <v>7.1</v>
      </c>
      <c r="E7" s="1">
        <v>2</v>
      </c>
      <c r="F7" s="2">
        <v>1</v>
      </c>
      <c r="G7" s="3">
        <f t="shared" si="0"/>
        <v>88.11</v>
      </c>
      <c r="H7" s="1">
        <v>8.1999999999999993</v>
      </c>
      <c r="I7" s="1">
        <v>83.106999999999999</v>
      </c>
      <c r="J7" s="3">
        <f t="shared" si="1"/>
        <v>0.94321870389286122</v>
      </c>
    </row>
    <row r="8" spans="1:10">
      <c r="A8" s="1">
        <v>20</v>
      </c>
      <c r="B8" s="1">
        <v>0</v>
      </c>
      <c r="C8" s="1">
        <v>10</v>
      </c>
      <c r="D8" s="1">
        <v>7.1</v>
      </c>
      <c r="E8" s="1">
        <v>2</v>
      </c>
      <c r="F8" s="2">
        <v>1</v>
      </c>
      <c r="G8" s="3">
        <f t="shared" si="0"/>
        <v>88.11</v>
      </c>
      <c r="H8" s="1">
        <v>6.3</v>
      </c>
      <c r="I8" s="1">
        <v>84.445899999999995</v>
      </c>
      <c r="J8" s="3">
        <f t="shared" si="1"/>
        <v>0.9584144818976279</v>
      </c>
    </row>
    <row r="9" spans="1:10">
      <c r="A9" s="1">
        <v>30</v>
      </c>
      <c r="B9" s="1">
        <v>0</v>
      </c>
      <c r="C9" s="1">
        <v>10</v>
      </c>
      <c r="D9" s="1">
        <v>7.1</v>
      </c>
      <c r="E9" s="1">
        <v>2</v>
      </c>
      <c r="F9" s="2">
        <v>1</v>
      </c>
      <c r="G9" s="3">
        <f t="shared" si="0"/>
        <v>88.11</v>
      </c>
      <c r="H9" s="1">
        <v>8.6</v>
      </c>
      <c r="I9" s="1">
        <v>64.374799999999993</v>
      </c>
      <c r="J9" s="3">
        <f t="shared" si="1"/>
        <v>0.73061854500056744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workbookViewId="0"/>
  </sheetViews>
  <sheetFormatPr baseColWidth="10" defaultColWidth="14.42578125" defaultRowHeight="15" customHeight="1"/>
  <cols>
    <col min="1" max="1" width="8.7109375" customWidth="1"/>
    <col min="2" max="3" width="19.85546875" customWidth="1"/>
    <col min="4" max="4" width="16.85546875" customWidth="1"/>
    <col min="5" max="5" width="8.7109375" customWidth="1"/>
    <col min="6" max="6" width="22.140625" customWidth="1"/>
    <col min="7" max="8" width="21.5703125" customWidth="1"/>
    <col min="9" max="9" width="27" customWidth="1"/>
    <col min="10" max="11" width="20.28515625" customWidth="1"/>
    <col min="12" max="12" width="21.85546875" customWidth="1"/>
    <col min="13" max="13" width="18.7109375" customWidth="1"/>
    <col min="14" max="26" width="8.7109375" customWidth="1"/>
  </cols>
  <sheetData>
    <row r="1" spans="1:13">
      <c r="A1" s="1" t="s">
        <v>11</v>
      </c>
      <c r="B1" s="1" t="s">
        <v>0</v>
      </c>
      <c r="C1" s="1" t="s">
        <v>10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12</v>
      </c>
      <c r="J1" s="1" t="s">
        <v>7</v>
      </c>
      <c r="K1" s="1" t="s">
        <v>13</v>
      </c>
      <c r="L1" s="1" t="s">
        <v>8</v>
      </c>
      <c r="M1" s="1" t="s">
        <v>9</v>
      </c>
    </row>
    <row r="2" spans="1:13">
      <c r="A2" s="1">
        <v>1</v>
      </c>
      <c r="B2" s="1">
        <v>0</v>
      </c>
      <c r="C2" s="1">
        <v>0.1</v>
      </c>
      <c r="D2" s="1">
        <v>10</v>
      </c>
      <c r="E2" s="1">
        <v>7.1</v>
      </c>
      <c r="F2" s="1">
        <v>2</v>
      </c>
      <c r="G2" s="2">
        <v>1</v>
      </c>
      <c r="H2" s="1">
        <f t="shared" ref="H2:H21" si="0">AVERAGE(89,85.9)</f>
        <v>87.45</v>
      </c>
      <c r="I2" s="1">
        <v>1.97</v>
      </c>
      <c r="J2" s="1">
        <f t="shared" ref="J2:J21" si="1">I2*5</f>
        <v>9.85</v>
      </c>
      <c r="K2" s="1">
        <f t="shared" ref="K2:K21" si="2">J2/10</f>
        <v>0.98499999999999999</v>
      </c>
      <c r="L2" s="1">
        <f>$H$2</f>
        <v>87.45</v>
      </c>
      <c r="M2" s="1">
        <f>L2/$H$2</f>
        <v>1</v>
      </c>
    </row>
    <row r="3" spans="1:13">
      <c r="A3" s="1">
        <v>1</v>
      </c>
      <c r="B3" s="1">
        <v>4</v>
      </c>
      <c r="C3" s="1">
        <v>0.1</v>
      </c>
      <c r="D3" s="1">
        <v>10</v>
      </c>
      <c r="E3" s="1">
        <v>7.1</v>
      </c>
      <c r="F3" s="1">
        <v>2</v>
      </c>
      <c r="G3" s="2">
        <v>1</v>
      </c>
      <c r="H3" s="1">
        <f t="shared" si="0"/>
        <v>87.45</v>
      </c>
      <c r="I3" s="1">
        <v>1.73</v>
      </c>
      <c r="J3" s="1">
        <f t="shared" si="1"/>
        <v>8.65</v>
      </c>
      <c r="K3" s="1">
        <f t="shared" si="2"/>
        <v>0.86499999999999999</v>
      </c>
    </row>
    <row r="4" spans="1:13">
      <c r="A4" s="1">
        <v>1</v>
      </c>
      <c r="B4" s="1">
        <v>16</v>
      </c>
      <c r="C4" s="1">
        <v>0.1</v>
      </c>
      <c r="D4" s="1">
        <v>10</v>
      </c>
      <c r="E4" s="1">
        <v>7.1</v>
      </c>
      <c r="F4" s="1">
        <v>2</v>
      </c>
      <c r="G4" s="2">
        <v>1</v>
      </c>
      <c r="H4" s="1">
        <f t="shared" si="0"/>
        <v>87.45</v>
      </c>
      <c r="I4" s="1">
        <v>1.72</v>
      </c>
      <c r="J4" s="1">
        <f t="shared" si="1"/>
        <v>8.6</v>
      </c>
      <c r="K4" s="1">
        <f t="shared" si="2"/>
        <v>0.86</v>
      </c>
      <c r="L4" s="1">
        <v>87.72</v>
      </c>
      <c r="M4" s="1">
        <f t="shared" ref="M4:M7" si="3">L4/$H$2</f>
        <v>1.0030874785591766</v>
      </c>
    </row>
    <row r="5" spans="1:13">
      <c r="A5" s="1">
        <v>1</v>
      </c>
      <c r="B5" s="1">
        <v>25</v>
      </c>
      <c r="C5" s="1">
        <v>0.1</v>
      </c>
      <c r="D5" s="1">
        <v>10</v>
      </c>
      <c r="E5" s="1">
        <v>7.1</v>
      </c>
      <c r="F5" s="1">
        <v>2</v>
      </c>
      <c r="G5" s="2">
        <v>1</v>
      </c>
      <c r="H5" s="1">
        <f t="shared" si="0"/>
        <v>87.45</v>
      </c>
      <c r="I5" s="1">
        <f>AVERAGE(1.7,1.72)</f>
        <v>1.71</v>
      </c>
      <c r="J5" s="1">
        <f t="shared" si="1"/>
        <v>8.5500000000000007</v>
      </c>
      <c r="K5" s="1">
        <f t="shared" si="2"/>
        <v>0.85500000000000009</v>
      </c>
      <c r="L5" s="1">
        <v>59</v>
      </c>
      <c r="M5" s="1">
        <f t="shared" si="3"/>
        <v>0.67467124070897655</v>
      </c>
    </row>
    <row r="6" spans="1:13">
      <c r="A6" s="1">
        <v>1</v>
      </c>
      <c r="B6" s="1">
        <v>35</v>
      </c>
      <c r="C6" s="1">
        <v>0.1</v>
      </c>
      <c r="D6" s="1">
        <v>10</v>
      </c>
      <c r="E6" s="1">
        <v>7.1</v>
      </c>
      <c r="F6" s="1">
        <v>2</v>
      </c>
      <c r="G6" s="2">
        <v>1</v>
      </c>
      <c r="H6" s="1">
        <f t="shared" si="0"/>
        <v>87.45</v>
      </c>
      <c r="I6" s="1">
        <f>1.47</f>
        <v>1.47</v>
      </c>
      <c r="J6" s="1">
        <f t="shared" si="1"/>
        <v>7.35</v>
      </c>
      <c r="K6" s="1">
        <f t="shared" si="2"/>
        <v>0.73499999999999999</v>
      </c>
      <c r="L6" s="1">
        <v>48.6</v>
      </c>
      <c r="M6" s="1">
        <f t="shared" si="3"/>
        <v>0.55574614065180106</v>
      </c>
    </row>
    <row r="7" spans="1:13">
      <c r="A7" s="1">
        <v>2</v>
      </c>
      <c r="B7" s="1">
        <v>0</v>
      </c>
      <c r="C7" s="1">
        <v>0.1</v>
      </c>
      <c r="D7" s="1">
        <v>10</v>
      </c>
      <c r="E7" s="1">
        <v>7.1</v>
      </c>
      <c r="F7" s="1">
        <v>2</v>
      </c>
      <c r="G7" s="2">
        <v>1</v>
      </c>
      <c r="H7" s="1">
        <f t="shared" si="0"/>
        <v>87.45</v>
      </c>
      <c r="I7" s="1">
        <v>1.97</v>
      </c>
      <c r="J7" s="1">
        <f t="shared" si="1"/>
        <v>9.85</v>
      </c>
      <c r="K7" s="1">
        <f t="shared" si="2"/>
        <v>0.98499999999999999</v>
      </c>
      <c r="L7" s="1">
        <f>$H$2</f>
        <v>87.45</v>
      </c>
      <c r="M7" s="1">
        <f t="shared" si="3"/>
        <v>1</v>
      </c>
    </row>
    <row r="8" spans="1:13">
      <c r="A8" s="1">
        <v>2</v>
      </c>
      <c r="B8" s="1">
        <v>4</v>
      </c>
      <c r="C8" s="1">
        <v>0.1</v>
      </c>
      <c r="D8" s="1">
        <v>10</v>
      </c>
      <c r="E8" s="1">
        <v>7.1</v>
      </c>
      <c r="F8" s="1">
        <v>2</v>
      </c>
      <c r="G8" s="2">
        <v>1</v>
      </c>
      <c r="H8" s="1">
        <f t="shared" si="0"/>
        <v>87.45</v>
      </c>
      <c r="I8" s="1">
        <v>1.73</v>
      </c>
      <c r="J8" s="1">
        <f t="shared" si="1"/>
        <v>8.65</v>
      </c>
      <c r="K8" s="1">
        <f t="shared" si="2"/>
        <v>0.86499999999999999</v>
      </c>
    </row>
    <row r="9" spans="1:13">
      <c r="A9" s="1">
        <v>2</v>
      </c>
      <c r="B9" s="1">
        <v>16</v>
      </c>
      <c r="C9" s="1">
        <v>0.1</v>
      </c>
      <c r="D9" s="1">
        <v>10</v>
      </c>
      <c r="E9" s="1">
        <v>7.1</v>
      </c>
      <c r="F9" s="1">
        <v>2</v>
      </c>
      <c r="G9" s="2">
        <v>1</v>
      </c>
      <c r="H9" s="1">
        <f t="shared" si="0"/>
        <v>87.45</v>
      </c>
      <c r="I9" s="1">
        <v>1.72</v>
      </c>
      <c r="J9" s="1">
        <f t="shared" si="1"/>
        <v>8.6</v>
      </c>
      <c r="K9" s="1">
        <f t="shared" si="2"/>
        <v>0.86</v>
      </c>
      <c r="L9" s="1">
        <v>74</v>
      </c>
      <c r="M9" s="1">
        <f t="shared" ref="M9:M12" si="4">L9/$H$2</f>
        <v>0.84619782732990279</v>
      </c>
    </row>
    <row r="10" spans="1:13">
      <c r="A10" s="1">
        <v>2</v>
      </c>
      <c r="B10" s="1">
        <v>25</v>
      </c>
      <c r="C10" s="1">
        <v>0.1</v>
      </c>
      <c r="D10" s="1">
        <v>10</v>
      </c>
      <c r="E10" s="1">
        <v>7.1</v>
      </c>
      <c r="F10" s="1">
        <v>2</v>
      </c>
      <c r="G10" s="2">
        <v>1</v>
      </c>
      <c r="H10" s="1">
        <f t="shared" si="0"/>
        <v>87.45</v>
      </c>
      <c r="I10" s="1">
        <v>1.72</v>
      </c>
      <c r="J10" s="1">
        <f t="shared" si="1"/>
        <v>8.6</v>
      </c>
      <c r="K10" s="1">
        <f t="shared" si="2"/>
        <v>0.86</v>
      </c>
      <c r="L10" s="1">
        <v>70</v>
      </c>
      <c r="M10" s="1">
        <f t="shared" si="4"/>
        <v>0.8004574042309891</v>
      </c>
    </row>
    <row r="11" spans="1:13">
      <c r="A11" s="1">
        <v>2</v>
      </c>
      <c r="B11" s="1">
        <v>35</v>
      </c>
      <c r="C11" s="1">
        <v>0.1</v>
      </c>
      <c r="D11" s="1">
        <v>10</v>
      </c>
      <c r="E11" s="1">
        <v>7.1</v>
      </c>
      <c r="F11" s="1">
        <v>2</v>
      </c>
      <c r="G11" s="2">
        <v>1</v>
      </c>
      <c r="H11" s="1">
        <f t="shared" si="0"/>
        <v>87.45</v>
      </c>
      <c r="I11" s="1">
        <f>1.47</f>
        <v>1.47</v>
      </c>
      <c r="J11" s="1">
        <f t="shared" si="1"/>
        <v>7.35</v>
      </c>
      <c r="K11" s="1">
        <f t="shared" si="2"/>
        <v>0.73499999999999999</v>
      </c>
      <c r="L11" s="1">
        <v>63</v>
      </c>
      <c r="M11" s="1">
        <f t="shared" si="4"/>
        <v>0.72041166380789023</v>
      </c>
    </row>
    <row r="12" spans="1:13">
      <c r="A12" s="1">
        <v>1</v>
      </c>
      <c r="B12" s="1">
        <v>0</v>
      </c>
      <c r="C12" s="1">
        <v>0</v>
      </c>
      <c r="D12" s="1">
        <v>10</v>
      </c>
      <c r="E12" s="1">
        <v>7.1</v>
      </c>
      <c r="F12" s="1">
        <v>2</v>
      </c>
      <c r="G12" s="2">
        <v>1</v>
      </c>
      <c r="H12" s="1">
        <f t="shared" si="0"/>
        <v>87.45</v>
      </c>
      <c r="I12" s="1">
        <v>1.97</v>
      </c>
      <c r="J12" s="1">
        <f t="shared" si="1"/>
        <v>9.85</v>
      </c>
      <c r="K12" s="1">
        <f t="shared" si="2"/>
        <v>0.98499999999999999</v>
      </c>
      <c r="L12" s="1">
        <f>$H$2</f>
        <v>87.45</v>
      </c>
      <c r="M12" s="1">
        <f t="shared" si="4"/>
        <v>1</v>
      </c>
    </row>
    <row r="13" spans="1:13">
      <c r="A13" s="1">
        <v>1</v>
      </c>
      <c r="B13" s="1">
        <v>4</v>
      </c>
      <c r="C13" s="1">
        <v>0</v>
      </c>
      <c r="D13" s="1">
        <v>10</v>
      </c>
      <c r="E13" s="1">
        <v>7.1</v>
      </c>
      <c r="F13" s="1">
        <v>2</v>
      </c>
      <c r="G13" s="2">
        <v>1</v>
      </c>
      <c r="H13" s="1">
        <f t="shared" si="0"/>
        <v>87.45</v>
      </c>
      <c r="I13" s="1">
        <v>1.92</v>
      </c>
      <c r="J13" s="1">
        <f t="shared" si="1"/>
        <v>9.6</v>
      </c>
      <c r="K13" s="1">
        <f t="shared" si="2"/>
        <v>0.96</v>
      </c>
    </row>
    <row r="14" spans="1:13">
      <c r="A14" s="1">
        <v>1</v>
      </c>
      <c r="B14" s="1">
        <v>16</v>
      </c>
      <c r="C14" s="1">
        <v>0</v>
      </c>
      <c r="D14" s="1">
        <v>10</v>
      </c>
      <c r="E14" s="1">
        <v>7.1</v>
      </c>
      <c r="F14" s="1">
        <v>2</v>
      </c>
      <c r="G14" s="2">
        <v>1</v>
      </c>
      <c r="H14" s="1">
        <f t="shared" si="0"/>
        <v>87.45</v>
      </c>
      <c r="I14" s="1">
        <v>1.89</v>
      </c>
      <c r="J14" s="1">
        <f t="shared" si="1"/>
        <v>9.4499999999999993</v>
      </c>
      <c r="K14" s="1">
        <f t="shared" si="2"/>
        <v>0.94499999999999995</v>
      </c>
      <c r="L14" s="1">
        <v>93.14</v>
      </c>
      <c r="M14" s="1">
        <f t="shared" ref="M14:M17" si="5">L14/$H$2</f>
        <v>1.0650657518582047</v>
      </c>
    </row>
    <row r="15" spans="1:13">
      <c r="A15" s="1">
        <v>1</v>
      </c>
      <c r="B15" s="1">
        <v>25</v>
      </c>
      <c r="C15" s="1">
        <v>0</v>
      </c>
      <c r="D15" s="1">
        <v>10</v>
      </c>
      <c r="E15" s="1">
        <v>7.1</v>
      </c>
      <c r="F15" s="1">
        <v>2</v>
      </c>
      <c r="G15" s="2">
        <v>1</v>
      </c>
      <c r="H15" s="1">
        <f t="shared" si="0"/>
        <v>87.45</v>
      </c>
      <c r="I15" s="1">
        <f>AVERAGE(1.91,1.89)</f>
        <v>1.9</v>
      </c>
      <c r="J15" s="1">
        <f t="shared" si="1"/>
        <v>9.5</v>
      </c>
      <c r="K15" s="1">
        <f t="shared" si="2"/>
        <v>0.95</v>
      </c>
      <c r="L15" s="1">
        <v>79</v>
      </c>
      <c r="M15" s="1">
        <f t="shared" si="5"/>
        <v>0.90337335620354486</v>
      </c>
    </row>
    <row r="16" spans="1:13">
      <c r="A16" s="1">
        <v>1</v>
      </c>
      <c r="B16" s="1">
        <v>35</v>
      </c>
      <c r="C16" s="1">
        <v>0</v>
      </c>
      <c r="D16" s="1">
        <v>10</v>
      </c>
      <c r="E16" s="1">
        <v>7.1</v>
      </c>
      <c r="F16" s="1">
        <v>2</v>
      </c>
      <c r="G16" s="2">
        <v>1</v>
      </c>
      <c r="H16" s="1">
        <f t="shared" si="0"/>
        <v>87.45</v>
      </c>
      <c r="I16" s="1">
        <f>AVERAGE(1.97,1.87)</f>
        <v>1.92</v>
      </c>
      <c r="J16" s="1">
        <f t="shared" si="1"/>
        <v>9.6</v>
      </c>
      <c r="K16" s="1">
        <f t="shared" si="2"/>
        <v>0.96</v>
      </c>
      <c r="L16" s="1">
        <v>65</v>
      </c>
      <c r="M16" s="1">
        <f t="shared" si="5"/>
        <v>0.74328187535734702</v>
      </c>
    </row>
    <row r="17" spans="1:13">
      <c r="A17" s="1">
        <v>2</v>
      </c>
      <c r="B17" s="1">
        <v>0</v>
      </c>
      <c r="C17" s="1">
        <v>0</v>
      </c>
      <c r="D17" s="1">
        <v>10</v>
      </c>
      <c r="E17" s="1">
        <v>7.1</v>
      </c>
      <c r="F17" s="1">
        <v>2</v>
      </c>
      <c r="G17" s="2">
        <v>1</v>
      </c>
      <c r="H17" s="1">
        <f t="shared" si="0"/>
        <v>87.45</v>
      </c>
      <c r="I17" s="1">
        <v>1.97</v>
      </c>
      <c r="J17" s="1">
        <f t="shared" si="1"/>
        <v>9.85</v>
      </c>
      <c r="K17" s="1">
        <f t="shared" si="2"/>
        <v>0.98499999999999999</v>
      </c>
      <c r="L17" s="1">
        <f>$H$2</f>
        <v>87.45</v>
      </c>
      <c r="M17" s="1">
        <f t="shared" si="5"/>
        <v>1</v>
      </c>
    </row>
    <row r="18" spans="1:13">
      <c r="A18" s="1">
        <v>2</v>
      </c>
      <c r="B18" s="1">
        <v>4</v>
      </c>
      <c r="C18" s="1">
        <v>0</v>
      </c>
      <c r="D18" s="1">
        <v>10</v>
      </c>
      <c r="E18" s="1">
        <v>7.1</v>
      </c>
      <c r="F18" s="1">
        <v>2</v>
      </c>
      <c r="G18" s="2">
        <v>1</v>
      </c>
      <c r="H18" s="1">
        <f t="shared" si="0"/>
        <v>87.45</v>
      </c>
      <c r="I18" s="1">
        <v>1.92</v>
      </c>
      <c r="J18" s="1">
        <f t="shared" si="1"/>
        <v>9.6</v>
      </c>
      <c r="K18" s="1">
        <f t="shared" si="2"/>
        <v>0.96</v>
      </c>
    </row>
    <row r="19" spans="1:13">
      <c r="A19" s="1">
        <v>2</v>
      </c>
      <c r="B19" s="1">
        <v>16</v>
      </c>
      <c r="C19" s="1">
        <v>0</v>
      </c>
      <c r="D19" s="1">
        <v>10</v>
      </c>
      <c r="E19" s="1">
        <v>7.1</v>
      </c>
      <c r="F19" s="1">
        <v>2</v>
      </c>
      <c r="G19" s="2">
        <v>1</v>
      </c>
      <c r="H19" s="1">
        <f t="shared" si="0"/>
        <v>87.45</v>
      </c>
      <c r="I19" s="1">
        <v>1.89</v>
      </c>
      <c r="J19" s="1">
        <f t="shared" si="1"/>
        <v>9.4499999999999993</v>
      </c>
      <c r="K19" s="1">
        <f t="shared" si="2"/>
        <v>0.94499999999999995</v>
      </c>
      <c r="L19" s="1">
        <v>74.3</v>
      </c>
      <c r="M19" s="1">
        <f t="shared" ref="M19:M21" si="6">L19/$H$2</f>
        <v>0.84962835906232126</v>
      </c>
    </row>
    <row r="20" spans="1:13">
      <c r="A20" s="1">
        <v>2</v>
      </c>
      <c r="B20" s="1">
        <v>25</v>
      </c>
      <c r="C20" s="1">
        <v>0</v>
      </c>
      <c r="D20" s="1">
        <v>10</v>
      </c>
      <c r="E20" s="1">
        <v>7.1</v>
      </c>
      <c r="F20" s="1">
        <v>2</v>
      </c>
      <c r="G20" s="2">
        <v>1</v>
      </c>
      <c r="H20" s="1">
        <f t="shared" si="0"/>
        <v>87.45</v>
      </c>
      <c r="I20" s="1">
        <f>AVERAGE(1.91,1.89)</f>
        <v>1.9</v>
      </c>
      <c r="J20" s="1">
        <f t="shared" si="1"/>
        <v>9.5</v>
      </c>
      <c r="K20" s="1">
        <f t="shared" si="2"/>
        <v>0.95</v>
      </c>
      <c r="L20" s="1">
        <v>75.900000000000006</v>
      </c>
      <c r="M20" s="1">
        <f t="shared" si="6"/>
        <v>0.86792452830188682</v>
      </c>
    </row>
    <row r="21" spans="1:13" ht="15.75" customHeight="1">
      <c r="A21" s="1">
        <v>2</v>
      </c>
      <c r="B21" s="1">
        <v>35</v>
      </c>
      <c r="C21" s="1">
        <v>0</v>
      </c>
      <c r="D21" s="1">
        <v>10</v>
      </c>
      <c r="E21" s="1">
        <v>7.1</v>
      </c>
      <c r="F21" s="1">
        <v>2</v>
      </c>
      <c r="G21" s="2">
        <v>1</v>
      </c>
      <c r="H21" s="1">
        <f t="shared" si="0"/>
        <v>87.45</v>
      </c>
      <c r="I21" s="1">
        <f>AVERAGE(1.97,1.87)</f>
        <v>1.92</v>
      </c>
      <c r="J21" s="1">
        <f t="shared" si="1"/>
        <v>9.6</v>
      </c>
      <c r="K21" s="1">
        <f t="shared" si="2"/>
        <v>0.96</v>
      </c>
      <c r="L21" s="1">
        <v>64.599999999999994</v>
      </c>
      <c r="M21" s="1">
        <f t="shared" si="6"/>
        <v>0.73870783304745558</v>
      </c>
    </row>
    <row r="22" spans="1:13" ht="15.75" customHeight="1"/>
    <row r="23" spans="1:13" ht="15.75" customHeight="1"/>
    <row r="24" spans="1:13" ht="15.75" customHeight="1"/>
    <row r="25" spans="1:13" ht="15.75" customHeight="1"/>
    <row r="26" spans="1:13" ht="15.75" customHeight="1"/>
    <row r="27" spans="1:13" ht="15.75" customHeight="1"/>
    <row r="28" spans="1:13" ht="15.75" customHeight="1"/>
    <row r="29" spans="1:13" ht="15.75" customHeight="1"/>
    <row r="30" spans="1:13" ht="15.75" customHeight="1"/>
    <row r="31" spans="1:13" ht="15.75" customHeight="1"/>
    <row r="32" spans="1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00"/>
  <sheetViews>
    <sheetView workbookViewId="0"/>
  </sheetViews>
  <sheetFormatPr baseColWidth="10" defaultColWidth="14.42578125" defaultRowHeight="15" customHeight="1"/>
  <cols>
    <col min="1" max="1" width="8.7109375" customWidth="1"/>
    <col min="2" max="3" width="19.85546875" customWidth="1"/>
    <col min="4" max="4" width="16.85546875" customWidth="1"/>
    <col min="5" max="5" width="8.7109375" customWidth="1"/>
    <col min="6" max="6" width="22.140625" customWidth="1"/>
    <col min="7" max="8" width="21.5703125" customWidth="1"/>
    <col min="9" max="9" width="27" customWidth="1"/>
    <col min="10" max="11" width="20.28515625" customWidth="1"/>
    <col min="12" max="12" width="21.85546875" customWidth="1"/>
    <col min="13" max="13" width="18.7109375" customWidth="1"/>
    <col min="14" max="26" width="8.7109375" customWidth="1"/>
  </cols>
  <sheetData>
    <row r="1" spans="1:13">
      <c r="A1" s="1" t="s">
        <v>11</v>
      </c>
      <c r="B1" s="1" t="s">
        <v>0</v>
      </c>
      <c r="C1" s="1" t="s">
        <v>10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12</v>
      </c>
      <c r="J1" s="1" t="s">
        <v>7</v>
      </c>
      <c r="K1" s="1" t="s">
        <v>13</v>
      </c>
      <c r="L1" s="1" t="s">
        <v>8</v>
      </c>
      <c r="M1" s="1" t="s">
        <v>9</v>
      </c>
    </row>
    <row r="2" spans="1:13">
      <c r="A2" s="1">
        <v>1</v>
      </c>
      <c r="B2" s="1">
        <v>0</v>
      </c>
      <c r="C2" s="1">
        <v>0.1</v>
      </c>
      <c r="D2" s="1">
        <v>10</v>
      </c>
      <c r="E2" s="1">
        <v>5.5</v>
      </c>
      <c r="F2" s="1">
        <v>2</v>
      </c>
      <c r="G2" s="2">
        <v>1</v>
      </c>
      <c r="H2" s="1">
        <f t="shared" ref="H2:H17" si="0">AVERAGE(6600,6790)</f>
        <v>6695</v>
      </c>
      <c r="I2" s="1">
        <v>1.95</v>
      </c>
      <c r="J2" s="1">
        <f t="shared" ref="J2:J17" si="1">I2*5</f>
        <v>9.75</v>
      </c>
      <c r="K2" s="1">
        <f t="shared" ref="K2:K17" si="2">J2/10</f>
        <v>0.97499999999999998</v>
      </c>
      <c r="L2" s="1">
        <f>$H$2</f>
        <v>6695</v>
      </c>
      <c r="M2" s="1">
        <f t="shared" ref="M2:M3" si="3">L2/$H$2</f>
        <v>1</v>
      </c>
    </row>
    <row r="3" spans="1:13">
      <c r="A3" s="1">
        <v>1</v>
      </c>
      <c r="B3" s="1">
        <v>10</v>
      </c>
      <c r="C3" s="1">
        <v>0.1</v>
      </c>
      <c r="D3" s="1">
        <v>10</v>
      </c>
      <c r="E3" s="1">
        <v>5.5</v>
      </c>
      <c r="F3" s="1">
        <v>2</v>
      </c>
      <c r="G3" s="2">
        <v>1</v>
      </c>
      <c r="H3" s="1">
        <f t="shared" si="0"/>
        <v>6695</v>
      </c>
      <c r="I3" s="1">
        <v>1.1599999999999999</v>
      </c>
      <c r="J3" s="1">
        <f t="shared" si="1"/>
        <v>5.8</v>
      </c>
      <c r="K3" s="1">
        <f t="shared" si="2"/>
        <v>0.57999999999999996</v>
      </c>
      <c r="L3" s="1">
        <v>247</v>
      </c>
      <c r="M3" s="1">
        <f t="shared" si="3"/>
        <v>3.6893203883495145E-2</v>
      </c>
    </row>
    <row r="4" spans="1:13">
      <c r="A4" s="1">
        <v>1</v>
      </c>
      <c r="B4" s="1">
        <v>20</v>
      </c>
      <c r="C4" s="1">
        <v>0.1</v>
      </c>
      <c r="D4" s="1">
        <v>10</v>
      </c>
      <c r="E4" s="1">
        <v>5.5</v>
      </c>
      <c r="F4" s="1">
        <v>2</v>
      </c>
      <c r="G4" s="2">
        <v>1</v>
      </c>
      <c r="H4" s="1">
        <f t="shared" si="0"/>
        <v>6695</v>
      </c>
      <c r="I4" s="1">
        <v>1.1100000000000001</v>
      </c>
      <c r="J4" s="1">
        <f t="shared" si="1"/>
        <v>5.5500000000000007</v>
      </c>
      <c r="K4" s="1">
        <f t="shared" si="2"/>
        <v>0.55500000000000005</v>
      </c>
    </row>
    <row r="5" spans="1:13">
      <c r="A5" s="1">
        <v>1</v>
      </c>
      <c r="B5" s="1">
        <v>30</v>
      </c>
      <c r="C5" s="1">
        <v>0.1</v>
      </c>
      <c r="D5" s="1">
        <v>10</v>
      </c>
      <c r="E5" s="1">
        <v>5.5</v>
      </c>
      <c r="F5" s="1">
        <v>2</v>
      </c>
      <c r="G5" s="2">
        <v>1</v>
      </c>
      <c r="H5" s="1">
        <f t="shared" si="0"/>
        <v>6695</v>
      </c>
      <c r="I5" s="1">
        <v>0.86</v>
      </c>
      <c r="J5" s="1">
        <f t="shared" si="1"/>
        <v>4.3</v>
      </c>
      <c r="K5" s="1">
        <f t="shared" si="2"/>
        <v>0.43</v>
      </c>
      <c r="L5" s="1">
        <v>50</v>
      </c>
      <c r="M5" s="1">
        <f t="shared" ref="M5:M7" si="4">L5/$H$2</f>
        <v>7.4682598954443615E-3</v>
      </c>
    </row>
    <row r="6" spans="1:13">
      <c r="A6" s="1">
        <v>2</v>
      </c>
      <c r="B6" s="1">
        <v>0</v>
      </c>
      <c r="C6" s="1">
        <v>0.1</v>
      </c>
      <c r="D6" s="1">
        <v>10</v>
      </c>
      <c r="E6" s="1">
        <v>5.5</v>
      </c>
      <c r="F6" s="1">
        <v>2</v>
      </c>
      <c r="G6" s="2">
        <v>1</v>
      </c>
      <c r="H6" s="1">
        <f t="shared" si="0"/>
        <v>6695</v>
      </c>
      <c r="I6" s="1">
        <v>1.95</v>
      </c>
      <c r="J6" s="1">
        <f t="shared" si="1"/>
        <v>9.75</v>
      </c>
      <c r="K6" s="1">
        <f t="shared" si="2"/>
        <v>0.97499999999999998</v>
      </c>
      <c r="L6" s="1">
        <f>$H$2</f>
        <v>6695</v>
      </c>
      <c r="M6" s="1">
        <f t="shared" si="4"/>
        <v>1</v>
      </c>
    </row>
    <row r="7" spans="1:13">
      <c r="A7" s="1">
        <v>2</v>
      </c>
      <c r="B7" s="1">
        <v>10</v>
      </c>
      <c r="C7" s="1">
        <v>0.1</v>
      </c>
      <c r="D7" s="1">
        <v>10</v>
      </c>
      <c r="E7" s="1">
        <v>5.5</v>
      </c>
      <c r="F7" s="1">
        <v>2</v>
      </c>
      <c r="G7" s="2">
        <v>1</v>
      </c>
      <c r="H7" s="1">
        <f t="shared" si="0"/>
        <v>6695</v>
      </c>
      <c r="I7" s="1">
        <v>1.1599999999999999</v>
      </c>
      <c r="J7" s="1">
        <f t="shared" si="1"/>
        <v>5.8</v>
      </c>
      <c r="K7" s="1">
        <f t="shared" si="2"/>
        <v>0.57999999999999996</v>
      </c>
      <c r="L7" s="1">
        <v>271</v>
      </c>
      <c r="M7" s="1">
        <f t="shared" si="4"/>
        <v>4.0477968633308437E-2</v>
      </c>
    </row>
    <row r="8" spans="1:13">
      <c r="A8" s="1">
        <v>2</v>
      </c>
      <c r="B8" s="1">
        <v>20</v>
      </c>
      <c r="C8" s="1">
        <v>0.1</v>
      </c>
      <c r="D8" s="1">
        <v>10</v>
      </c>
      <c r="E8" s="1">
        <v>5.5</v>
      </c>
      <c r="F8" s="1">
        <v>2</v>
      </c>
      <c r="G8" s="2">
        <v>1</v>
      </c>
      <c r="H8" s="1">
        <f t="shared" si="0"/>
        <v>6695</v>
      </c>
      <c r="I8" s="1">
        <v>1.1100000000000001</v>
      </c>
      <c r="J8" s="1">
        <f t="shared" si="1"/>
        <v>5.5500000000000007</v>
      </c>
      <c r="K8" s="1">
        <f t="shared" si="2"/>
        <v>0.55500000000000005</v>
      </c>
    </row>
    <row r="9" spans="1:13">
      <c r="A9" s="1">
        <v>2</v>
      </c>
      <c r="B9" s="1">
        <v>30</v>
      </c>
      <c r="C9" s="1">
        <v>0.1</v>
      </c>
      <c r="D9" s="1">
        <v>10</v>
      </c>
      <c r="E9" s="1">
        <v>5.5</v>
      </c>
      <c r="F9" s="1">
        <v>2</v>
      </c>
      <c r="G9" s="2">
        <v>1</v>
      </c>
      <c r="H9" s="1">
        <f t="shared" si="0"/>
        <v>6695</v>
      </c>
      <c r="I9" s="1">
        <v>0.86</v>
      </c>
      <c r="J9" s="1">
        <f t="shared" si="1"/>
        <v>4.3</v>
      </c>
      <c r="K9" s="1">
        <f t="shared" si="2"/>
        <v>0.43</v>
      </c>
      <c r="L9" s="1">
        <v>69</v>
      </c>
      <c r="M9" s="1">
        <f t="shared" ref="M9:M11" si="5">L9/$H$2</f>
        <v>1.0306198655713219E-2</v>
      </c>
    </row>
    <row r="10" spans="1:13">
      <c r="A10" s="1">
        <v>1</v>
      </c>
      <c r="B10" s="1">
        <v>0</v>
      </c>
      <c r="C10" s="1">
        <v>0</v>
      </c>
      <c r="D10" s="1">
        <v>10</v>
      </c>
      <c r="E10" s="1">
        <v>5.5</v>
      </c>
      <c r="F10" s="1">
        <v>2</v>
      </c>
      <c r="G10" s="2">
        <v>1</v>
      </c>
      <c r="H10" s="1">
        <f t="shared" si="0"/>
        <v>6695</v>
      </c>
      <c r="I10" s="1">
        <v>1.95</v>
      </c>
      <c r="J10" s="1">
        <f t="shared" si="1"/>
        <v>9.75</v>
      </c>
      <c r="K10" s="1">
        <f t="shared" si="2"/>
        <v>0.97499999999999998</v>
      </c>
      <c r="L10" s="1">
        <f>$H$2</f>
        <v>6695</v>
      </c>
      <c r="M10" s="1">
        <f t="shared" si="5"/>
        <v>1</v>
      </c>
    </row>
    <row r="11" spans="1:13">
      <c r="A11" s="1">
        <v>1</v>
      </c>
      <c r="B11" s="1">
        <v>10</v>
      </c>
      <c r="C11" s="1">
        <v>0</v>
      </c>
      <c r="D11" s="1">
        <v>10</v>
      </c>
      <c r="E11" s="1">
        <v>5.5</v>
      </c>
      <c r="F11" s="1">
        <v>2</v>
      </c>
      <c r="G11" s="2">
        <v>1</v>
      </c>
      <c r="H11" s="1">
        <f t="shared" si="0"/>
        <v>6695</v>
      </c>
      <c r="I11" s="1">
        <v>1.81</v>
      </c>
      <c r="J11" s="1">
        <f t="shared" si="1"/>
        <v>9.0500000000000007</v>
      </c>
      <c r="K11" s="1">
        <f t="shared" si="2"/>
        <v>0.90500000000000003</v>
      </c>
      <c r="L11" s="1">
        <v>3342</v>
      </c>
      <c r="M11" s="1">
        <f t="shared" si="5"/>
        <v>0.49917849141150111</v>
      </c>
    </row>
    <row r="12" spans="1:13">
      <c r="A12" s="1">
        <v>1</v>
      </c>
      <c r="B12" s="1">
        <v>20</v>
      </c>
      <c r="C12" s="1">
        <v>0</v>
      </c>
      <c r="D12" s="1">
        <v>10</v>
      </c>
      <c r="E12" s="1">
        <v>5.5</v>
      </c>
      <c r="F12" s="1">
        <v>2</v>
      </c>
      <c r="G12" s="2">
        <v>1</v>
      </c>
      <c r="H12" s="1">
        <f t="shared" si="0"/>
        <v>6695</v>
      </c>
      <c r="I12" s="1">
        <v>1.78</v>
      </c>
      <c r="J12" s="1">
        <f t="shared" si="1"/>
        <v>8.9</v>
      </c>
      <c r="K12" s="1">
        <f t="shared" si="2"/>
        <v>0.89</v>
      </c>
    </row>
    <row r="13" spans="1:13">
      <c r="A13" s="1">
        <v>1</v>
      </c>
      <c r="B13" s="1">
        <v>30</v>
      </c>
      <c r="C13" s="1">
        <v>0</v>
      </c>
      <c r="D13" s="1">
        <v>10</v>
      </c>
      <c r="E13" s="1">
        <v>5.5</v>
      </c>
      <c r="F13" s="1">
        <v>2</v>
      </c>
      <c r="G13" s="2">
        <v>1</v>
      </c>
      <c r="H13" s="1">
        <f t="shared" si="0"/>
        <v>6695</v>
      </c>
      <c r="I13" s="1">
        <v>1.77</v>
      </c>
      <c r="J13" s="1">
        <f t="shared" si="1"/>
        <v>8.85</v>
      </c>
      <c r="K13" s="1">
        <f t="shared" si="2"/>
        <v>0.88500000000000001</v>
      </c>
      <c r="L13" s="1">
        <v>4976</v>
      </c>
      <c r="M13" s="1">
        <f t="shared" ref="M13:M15" si="6">L13/$H$2</f>
        <v>0.74324122479462285</v>
      </c>
    </row>
    <row r="14" spans="1:13">
      <c r="A14" s="1">
        <v>2</v>
      </c>
      <c r="B14" s="1">
        <v>0</v>
      </c>
      <c r="C14" s="1">
        <v>0</v>
      </c>
      <c r="D14" s="1">
        <v>10</v>
      </c>
      <c r="E14" s="1">
        <v>5.5</v>
      </c>
      <c r="F14" s="1">
        <v>2</v>
      </c>
      <c r="G14" s="2">
        <v>1</v>
      </c>
      <c r="H14" s="1">
        <f t="shared" si="0"/>
        <v>6695</v>
      </c>
      <c r="I14" s="1">
        <v>1.95</v>
      </c>
      <c r="J14" s="1">
        <f t="shared" si="1"/>
        <v>9.75</v>
      </c>
      <c r="K14" s="1">
        <f t="shared" si="2"/>
        <v>0.97499999999999998</v>
      </c>
      <c r="L14" s="1">
        <f>$H$2</f>
        <v>6695</v>
      </c>
      <c r="M14" s="1">
        <f t="shared" si="6"/>
        <v>1</v>
      </c>
    </row>
    <row r="15" spans="1:13">
      <c r="A15" s="1">
        <v>2</v>
      </c>
      <c r="B15" s="1">
        <v>10</v>
      </c>
      <c r="C15" s="1">
        <v>0</v>
      </c>
      <c r="D15" s="1">
        <v>10</v>
      </c>
      <c r="E15" s="1">
        <v>5.5</v>
      </c>
      <c r="F15" s="1">
        <v>2</v>
      </c>
      <c r="G15" s="2">
        <v>1</v>
      </c>
      <c r="H15" s="1">
        <f t="shared" si="0"/>
        <v>6695</v>
      </c>
      <c r="I15" s="1">
        <v>1.81</v>
      </c>
      <c r="J15" s="1">
        <f t="shared" si="1"/>
        <v>9.0500000000000007</v>
      </c>
      <c r="K15" s="1">
        <f t="shared" si="2"/>
        <v>0.90500000000000003</v>
      </c>
      <c r="L15" s="1">
        <v>3360</v>
      </c>
      <c r="M15" s="1">
        <f t="shared" si="6"/>
        <v>0.50186706497386113</v>
      </c>
    </row>
    <row r="16" spans="1:13">
      <c r="A16" s="1">
        <v>2</v>
      </c>
      <c r="B16" s="1">
        <v>20</v>
      </c>
      <c r="C16" s="1">
        <v>0</v>
      </c>
      <c r="D16" s="1">
        <v>10</v>
      </c>
      <c r="E16" s="1">
        <v>5.5</v>
      </c>
      <c r="F16" s="1">
        <v>2</v>
      </c>
      <c r="G16" s="2">
        <v>1</v>
      </c>
      <c r="H16" s="1">
        <f t="shared" si="0"/>
        <v>6695</v>
      </c>
      <c r="I16" s="1">
        <v>1.81</v>
      </c>
      <c r="J16" s="1">
        <f t="shared" si="1"/>
        <v>9.0500000000000007</v>
      </c>
      <c r="K16" s="1">
        <f t="shared" si="2"/>
        <v>0.90500000000000003</v>
      </c>
    </row>
    <row r="17" spans="1:13">
      <c r="A17" s="1">
        <v>2</v>
      </c>
      <c r="B17" s="1">
        <v>30</v>
      </c>
      <c r="C17" s="1">
        <v>0</v>
      </c>
      <c r="D17" s="1">
        <v>10</v>
      </c>
      <c r="E17" s="1">
        <v>5.5</v>
      </c>
      <c r="F17" s="1">
        <v>2</v>
      </c>
      <c r="G17" s="2">
        <v>1</v>
      </c>
      <c r="H17" s="1">
        <f t="shared" si="0"/>
        <v>6695</v>
      </c>
      <c r="I17" s="1">
        <v>1.77</v>
      </c>
      <c r="J17" s="1">
        <f t="shared" si="1"/>
        <v>8.85</v>
      </c>
      <c r="K17" s="1">
        <f t="shared" si="2"/>
        <v>0.88500000000000001</v>
      </c>
      <c r="L17" s="1">
        <v>3319</v>
      </c>
      <c r="M17" s="1">
        <f>L17/$H$2</f>
        <v>0.4957430918595967</v>
      </c>
    </row>
    <row r="21" spans="1:13" ht="15.75" customHeight="1"/>
    <row r="22" spans="1:13" ht="15.75" customHeight="1"/>
    <row r="23" spans="1:13" ht="15.75" customHeight="1"/>
    <row r="24" spans="1:13" ht="15.75" customHeight="1"/>
    <row r="25" spans="1:13" ht="15.75" customHeight="1"/>
    <row r="26" spans="1:13" ht="15.75" customHeight="1"/>
    <row r="27" spans="1:13" ht="15.75" customHeight="1"/>
    <row r="28" spans="1:13" ht="15.75" customHeight="1"/>
    <row r="29" spans="1:13" ht="15.75" customHeight="1"/>
    <row r="30" spans="1:13" ht="15.75" customHeight="1"/>
    <row r="31" spans="1:13" ht="15.75" customHeight="1"/>
    <row r="32" spans="1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00"/>
  <sheetViews>
    <sheetView workbookViewId="0"/>
  </sheetViews>
  <sheetFormatPr baseColWidth="10" defaultColWidth="14.42578125" defaultRowHeight="15" customHeight="1"/>
  <cols>
    <col min="1" max="1" width="8.7109375" customWidth="1"/>
    <col min="2" max="3" width="19.85546875" customWidth="1"/>
    <col min="4" max="4" width="16.85546875" customWidth="1"/>
    <col min="5" max="5" width="8.7109375" customWidth="1"/>
    <col min="6" max="6" width="22.140625" customWidth="1"/>
    <col min="7" max="8" width="21.5703125" customWidth="1"/>
    <col min="9" max="9" width="27" customWidth="1"/>
    <col min="10" max="11" width="20.28515625" customWidth="1"/>
    <col min="12" max="12" width="21.85546875" customWidth="1"/>
    <col min="13" max="13" width="18.7109375" customWidth="1"/>
    <col min="14" max="26" width="8.7109375" customWidth="1"/>
  </cols>
  <sheetData>
    <row r="1" spans="1:13">
      <c r="A1" s="1" t="s">
        <v>11</v>
      </c>
      <c r="B1" s="1" t="s">
        <v>0</v>
      </c>
      <c r="C1" s="1" t="s">
        <v>10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12</v>
      </c>
      <c r="J1" s="1" t="s">
        <v>7</v>
      </c>
      <c r="K1" s="1" t="s">
        <v>13</v>
      </c>
      <c r="L1" s="1" t="s">
        <v>8</v>
      </c>
      <c r="M1" s="1" t="s">
        <v>9</v>
      </c>
    </row>
    <row r="2" spans="1:13">
      <c r="A2" s="1">
        <v>1</v>
      </c>
      <c r="B2" s="1">
        <v>0</v>
      </c>
      <c r="C2" s="1">
        <v>0.1</v>
      </c>
      <c r="D2" s="1">
        <v>10</v>
      </c>
      <c r="E2" s="1">
        <v>5.7</v>
      </c>
      <c r="F2" s="1">
        <v>2</v>
      </c>
      <c r="G2" s="2"/>
      <c r="I2" s="1">
        <v>1.57</v>
      </c>
      <c r="J2" s="1">
        <f t="shared" ref="J2:J15" si="0">I2*5</f>
        <v>7.8500000000000005</v>
      </c>
      <c r="K2" s="1">
        <f t="shared" ref="K2:K15" si="1">J2/$J$2</f>
        <v>1</v>
      </c>
      <c r="M2" s="1" t="e">
        <f t="shared" ref="M2:M3" si="2">L2/$H$2</f>
        <v>#DIV/0!</v>
      </c>
    </row>
    <row r="3" spans="1:13">
      <c r="A3" s="1">
        <v>1</v>
      </c>
      <c r="B3" s="1">
        <v>5</v>
      </c>
      <c r="C3" s="1">
        <v>0.1</v>
      </c>
      <c r="D3" s="1">
        <v>10</v>
      </c>
      <c r="E3" s="1">
        <v>5.7</v>
      </c>
      <c r="F3" s="1">
        <v>2</v>
      </c>
      <c r="G3" s="2"/>
      <c r="I3" s="1">
        <v>1.05</v>
      </c>
      <c r="J3" s="1">
        <f t="shared" si="0"/>
        <v>5.25</v>
      </c>
      <c r="K3" s="1">
        <f t="shared" si="1"/>
        <v>0.66878980891719741</v>
      </c>
      <c r="M3" s="1" t="e">
        <f t="shared" si="2"/>
        <v>#DIV/0!</v>
      </c>
    </row>
    <row r="4" spans="1:13">
      <c r="A4" s="1">
        <v>1</v>
      </c>
      <c r="B4" s="1">
        <v>10</v>
      </c>
      <c r="C4" s="1">
        <v>0.1</v>
      </c>
      <c r="D4" s="1">
        <v>10</v>
      </c>
      <c r="E4" s="1">
        <v>5.7</v>
      </c>
      <c r="F4" s="1">
        <v>2</v>
      </c>
      <c r="G4" s="2"/>
      <c r="I4" s="1">
        <v>0.97</v>
      </c>
      <c r="J4" s="1">
        <f t="shared" si="0"/>
        <v>4.8499999999999996</v>
      </c>
      <c r="K4" s="1">
        <f t="shared" si="1"/>
        <v>0.61783439490445846</v>
      </c>
    </row>
    <row r="5" spans="1:13">
      <c r="A5" s="1">
        <v>1</v>
      </c>
      <c r="B5" s="1">
        <v>15</v>
      </c>
      <c r="C5" s="1">
        <v>0.1</v>
      </c>
      <c r="D5" s="1">
        <v>10</v>
      </c>
      <c r="E5" s="1">
        <v>5.7</v>
      </c>
      <c r="F5" s="1">
        <v>2</v>
      </c>
      <c r="G5" s="2"/>
      <c r="I5" s="1">
        <v>0.89</v>
      </c>
      <c r="J5" s="1">
        <f t="shared" si="0"/>
        <v>4.45</v>
      </c>
      <c r="K5" s="1">
        <f t="shared" si="1"/>
        <v>0.56687898089171973</v>
      </c>
      <c r="M5" s="1" t="e">
        <f t="shared" ref="M5:M7" si="3">L5/$H$2</f>
        <v>#DIV/0!</v>
      </c>
    </row>
    <row r="6" spans="1:13">
      <c r="A6" s="1">
        <v>2</v>
      </c>
      <c r="B6" s="1">
        <v>20</v>
      </c>
      <c r="C6" s="1">
        <v>0.1</v>
      </c>
      <c r="D6" s="1">
        <v>10</v>
      </c>
      <c r="E6" s="1">
        <v>5.7</v>
      </c>
      <c r="F6" s="1">
        <v>2</v>
      </c>
      <c r="G6" s="2"/>
      <c r="I6" s="1">
        <v>0.8</v>
      </c>
      <c r="J6" s="1">
        <f t="shared" si="0"/>
        <v>4</v>
      </c>
      <c r="K6" s="1">
        <f t="shared" si="1"/>
        <v>0.50955414012738853</v>
      </c>
      <c r="M6" s="1" t="e">
        <f t="shared" si="3"/>
        <v>#DIV/0!</v>
      </c>
    </row>
    <row r="7" spans="1:13">
      <c r="A7" s="1">
        <v>2</v>
      </c>
      <c r="B7" s="1">
        <v>25</v>
      </c>
      <c r="C7" s="1">
        <v>0.1</v>
      </c>
      <c r="D7" s="1">
        <v>10</v>
      </c>
      <c r="E7" s="1">
        <v>5.7</v>
      </c>
      <c r="F7" s="1">
        <v>2</v>
      </c>
      <c r="G7" s="2"/>
      <c r="I7" s="1">
        <v>0.72</v>
      </c>
      <c r="J7" s="1">
        <f t="shared" si="0"/>
        <v>3.5999999999999996</v>
      </c>
      <c r="K7" s="1">
        <f t="shared" si="1"/>
        <v>0.45859872611464958</v>
      </c>
      <c r="M7" s="1" t="e">
        <f t="shared" si="3"/>
        <v>#DIV/0!</v>
      </c>
    </row>
    <row r="8" spans="1:13">
      <c r="A8" s="1">
        <v>2</v>
      </c>
      <c r="B8" s="1">
        <v>30</v>
      </c>
      <c r="C8" s="1">
        <v>0.1</v>
      </c>
      <c r="D8" s="1">
        <v>10</v>
      </c>
      <c r="E8" s="1">
        <v>5.7</v>
      </c>
      <c r="F8" s="1">
        <v>2</v>
      </c>
      <c r="G8" s="2"/>
      <c r="I8" s="1">
        <v>0.65</v>
      </c>
      <c r="J8" s="1">
        <f t="shared" si="0"/>
        <v>3.25</v>
      </c>
      <c r="K8" s="1">
        <f t="shared" si="1"/>
        <v>0.41401273885350315</v>
      </c>
    </row>
    <row r="9" spans="1:13">
      <c r="A9" s="1">
        <v>1</v>
      </c>
      <c r="B9" s="1">
        <v>0</v>
      </c>
      <c r="C9" s="1">
        <v>0</v>
      </c>
      <c r="D9" s="1">
        <v>10</v>
      </c>
      <c r="E9" s="1">
        <v>5.7</v>
      </c>
      <c r="F9" s="1">
        <v>2</v>
      </c>
      <c r="G9" s="2"/>
      <c r="I9" s="1">
        <v>1.57</v>
      </c>
      <c r="J9" s="1">
        <f t="shared" si="0"/>
        <v>7.8500000000000005</v>
      </c>
      <c r="K9" s="1">
        <f t="shared" si="1"/>
        <v>1</v>
      </c>
      <c r="M9" s="1" t="e">
        <f t="shared" ref="M9:M10" si="4">L9/$H$2</f>
        <v>#DIV/0!</v>
      </c>
    </row>
    <row r="10" spans="1:13">
      <c r="A10" s="1">
        <v>1</v>
      </c>
      <c r="B10" s="1">
        <v>5</v>
      </c>
      <c r="C10" s="1">
        <v>0</v>
      </c>
      <c r="D10" s="1">
        <v>10</v>
      </c>
      <c r="E10" s="1">
        <v>5.7</v>
      </c>
      <c r="F10" s="1">
        <v>2</v>
      </c>
      <c r="G10" s="2"/>
      <c r="I10" s="1">
        <v>1.53</v>
      </c>
      <c r="J10" s="1">
        <f t="shared" si="0"/>
        <v>7.65</v>
      </c>
      <c r="K10" s="1">
        <f t="shared" si="1"/>
        <v>0.97452229299363058</v>
      </c>
      <c r="M10" s="1" t="e">
        <f t="shared" si="4"/>
        <v>#DIV/0!</v>
      </c>
    </row>
    <row r="11" spans="1:13">
      <c r="A11" s="1">
        <v>1</v>
      </c>
      <c r="B11" s="1">
        <v>10</v>
      </c>
      <c r="C11" s="1">
        <v>0</v>
      </c>
      <c r="D11" s="1">
        <v>10</v>
      </c>
      <c r="E11" s="1">
        <v>5.7</v>
      </c>
      <c r="F11" s="1">
        <v>2</v>
      </c>
      <c r="G11" s="2"/>
      <c r="I11" s="1">
        <v>1.54</v>
      </c>
      <c r="J11" s="1">
        <f t="shared" si="0"/>
        <v>7.7</v>
      </c>
      <c r="K11" s="1">
        <f t="shared" si="1"/>
        <v>0.98089171974522293</v>
      </c>
    </row>
    <row r="12" spans="1:13">
      <c r="A12" s="1">
        <v>1</v>
      </c>
      <c r="B12" s="1">
        <v>15</v>
      </c>
      <c r="C12" s="1">
        <v>0</v>
      </c>
      <c r="D12" s="1">
        <v>10</v>
      </c>
      <c r="E12" s="1">
        <v>5.7</v>
      </c>
      <c r="F12" s="1">
        <v>2</v>
      </c>
      <c r="G12" s="2"/>
      <c r="I12" s="1">
        <v>1.52</v>
      </c>
      <c r="J12" s="1">
        <f t="shared" si="0"/>
        <v>7.6</v>
      </c>
      <c r="K12" s="1">
        <f t="shared" si="1"/>
        <v>0.96815286624203811</v>
      </c>
      <c r="M12" s="1" t="e">
        <f t="shared" ref="M12:M14" si="5">L12/$H$2</f>
        <v>#DIV/0!</v>
      </c>
    </row>
    <row r="13" spans="1:13">
      <c r="A13" s="1">
        <v>2</v>
      </c>
      <c r="B13" s="1">
        <v>20</v>
      </c>
      <c r="C13" s="1">
        <v>0</v>
      </c>
      <c r="D13" s="1">
        <v>10</v>
      </c>
      <c r="E13" s="1">
        <v>5.7</v>
      </c>
      <c r="F13" s="1">
        <v>2</v>
      </c>
      <c r="G13" s="2"/>
      <c r="I13" s="1">
        <v>1.53</v>
      </c>
      <c r="J13" s="1">
        <f t="shared" si="0"/>
        <v>7.65</v>
      </c>
      <c r="K13" s="1">
        <f t="shared" si="1"/>
        <v>0.97452229299363058</v>
      </c>
      <c r="M13" s="1" t="e">
        <f t="shared" si="5"/>
        <v>#DIV/0!</v>
      </c>
    </row>
    <row r="14" spans="1:13">
      <c r="A14" s="1">
        <v>2</v>
      </c>
      <c r="B14" s="1">
        <v>25</v>
      </c>
      <c r="C14" s="1">
        <v>0</v>
      </c>
      <c r="D14" s="1">
        <v>10</v>
      </c>
      <c r="E14" s="1">
        <v>5.7</v>
      </c>
      <c r="F14" s="1">
        <v>2</v>
      </c>
      <c r="G14" s="2"/>
      <c r="I14" s="1">
        <v>1.56</v>
      </c>
      <c r="J14" s="1">
        <f t="shared" si="0"/>
        <v>7.8000000000000007</v>
      </c>
      <c r="K14" s="1">
        <f t="shared" si="1"/>
        <v>0.99363057324840764</v>
      </c>
      <c r="M14" s="1" t="e">
        <f t="shared" si="5"/>
        <v>#DIV/0!</v>
      </c>
    </row>
    <row r="15" spans="1:13">
      <c r="A15" s="1">
        <v>2</v>
      </c>
      <c r="B15" s="1">
        <v>30</v>
      </c>
      <c r="C15" s="1">
        <v>0</v>
      </c>
      <c r="D15" s="1">
        <v>10</v>
      </c>
      <c r="E15" s="1">
        <v>5.7</v>
      </c>
      <c r="F15" s="1">
        <v>2</v>
      </c>
      <c r="G15" s="2"/>
      <c r="I15" s="1">
        <v>1.56</v>
      </c>
      <c r="J15" s="1">
        <f t="shared" si="0"/>
        <v>7.8000000000000007</v>
      </c>
      <c r="K15" s="1">
        <f t="shared" si="1"/>
        <v>0.99363057324840764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00"/>
  <sheetViews>
    <sheetView workbookViewId="0"/>
  </sheetViews>
  <sheetFormatPr baseColWidth="10" defaultColWidth="14.42578125" defaultRowHeight="15" customHeight="1"/>
  <cols>
    <col min="1" max="1" width="12.5703125" customWidth="1"/>
    <col min="2" max="2" width="8.7109375" customWidth="1"/>
    <col min="3" max="4" width="19.85546875" customWidth="1"/>
    <col min="5" max="5" width="16.85546875" customWidth="1"/>
    <col min="6" max="6" width="8.7109375" customWidth="1"/>
    <col min="7" max="7" width="22.140625" customWidth="1"/>
    <col min="8" max="9" width="21.5703125" customWidth="1"/>
    <col min="10" max="10" width="27" customWidth="1"/>
    <col min="11" max="12" width="20.28515625" customWidth="1"/>
    <col min="13" max="13" width="21.85546875" customWidth="1"/>
    <col min="14" max="14" width="18.7109375" customWidth="1"/>
    <col min="15" max="26" width="8.7109375" customWidth="1"/>
  </cols>
  <sheetData>
    <row r="1" spans="1:14">
      <c r="A1" s="1" t="s">
        <v>14</v>
      </c>
      <c r="B1" s="1" t="s">
        <v>11</v>
      </c>
      <c r="C1" s="1" t="s">
        <v>0</v>
      </c>
      <c r="D1" s="1" t="s">
        <v>10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12</v>
      </c>
      <c r="K1" s="1" t="s">
        <v>7</v>
      </c>
      <c r="L1" s="1" t="s">
        <v>15</v>
      </c>
      <c r="M1" s="1" t="s">
        <v>8</v>
      </c>
      <c r="N1" s="1" t="s">
        <v>9</v>
      </c>
    </row>
    <row r="2" spans="1:14">
      <c r="A2" s="1">
        <v>0</v>
      </c>
      <c r="B2" s="1">
        <v>1</v>
      </c>
      <c r="C2" s="1">
        <v>0</v>
      </c>
      <c r="D2" s="1">
        <v>1</v>
      </c>
      <c r="E2" s="1">
        <f t="shared" ref="E2:E7" si="0">1.6*5</f>
        <v>8</v>
      </c>
      <c r="F2" s="1">
        <v>8</v>
      </c>
      <c r="G2" s="1">
        <v>0</v>
      </c>
      <c r="H2" s="2"/>
      <c r="J2" s="1">
        <v>1.6</v>
      </c>
      <c r="K2" s="1">
        <f t="shared" ref="K2:K7" si="1">J2*5</f>
        <v>8</v>
      </c>
      <c r="L2" s="1">
        <f t="shared" ref="L2:L7" si="2">K2/$K$2</f>
        <v>1</v>
      </c>
    </row>
    <row r="3" spans="1:14">
      <c r="A3" s="1">
        <v>0</v>
      </c>
      <c r="B3" s="1">
        <v>1</v>
      </c>
      <c r="C3" s="1">
        <v>0.5</v>
      </c>
      <c r="D3" s="1">
        <v>1</v>
      </c>
      <c r="E3" s="1">
        <f t="shared" si="0"/>
        <v>8</v>
      </c>
      <c r="F3" s="1">
        <v>8</v>
      </c>
      <c r="G3" s="1">
        <v>0</v>
      </c>
      <c r="H3" s="2"/>
      <c r="J3" s="1">
        <v>1.47</v>
      </c>
      <c r="K3" s="1">
        <f t="shared" si="1"/>
        <v>7.35</v>
      </c>
      <c r="L3" s="1">
        <f t="shared" si="2"/>
        <v>0.91874999999999996</v>
      </c>
    </row>
    <row r="4" spans="1:14">
      <c r="A4" s="1">
        <v>0</v>
      </c>
      <c r="B4" s="1">
        <v>1</v>
      </c>
      <c r="C4" s="1">
        <v>1</v>
      </c>
      <c r="D4" s="1">
        <v>1</v>
      </c>
      <c r="E4" s="1">
        <f t="shared" si="0"/>
        <v>8</v>
      </c>
      <c r="F4" s="1">
        <v>8</v>
      </c>
      <c r="G4" s="1">
        <v>0</v>
      </c>
      <c r="H4" s="2"/>
      <c r="J4" s="1">
        <v>1.52</v>
      </c>
      <c r="K4" s="1">
        <f t="shared" si="1"/>
        <v>7.6</v>
      </c>
      <c r="L4" s="1">
        <f t="shared" si="2"/>
        <v>0.95</v>
      </c>
    </row>
    <row r="5" spans="1:14">
      <c r="A5" s="1">
        <v>0</v>
      </c>
      <c r="B5" s="1">
        <v>1</v>
      </c>
      <c r="C5" s="1">
        <v>5</v>
      </c>
      <c r="D5" s="1">
        <v>1</v>
      </c>
      <c r="E5" s="1">
        <f t="shared" si="0"/>
        <v>8</v>
      </c>
      <c r="F5" s="1">
        <v>8</v>
      </c>
      <c r="G5" s="1">
        <v>0</v>
      </c>
      <c r="H5" s="2"/>
      <c r="J5" s="1">
        <v>0.56000000000000005</v>
      </c>
      <c r="K5" s="1">
        <f t="shared" si="1"/>
        <v>2.8000000000000003</v>
      </c>
      <c r="L5" s="1">
        <f t="shared" si="2"/>
        <v>0.35000000000000003</v>
      </c>
    </row>
    <row r="6" spans="1:14">
      <c r="A6" s="1">
        <v>0</v>
      </c>
      <c r="B6" s="1">
        <v>2</v>
      </c>
      <c r="C6" s="1">
        <v>7</v>
      </c>
      <c r="D6" s="1">
        <v>1</v>
      </c>
      <c r="E6" s="1">
        <f t="shared" si="0"/>
        <v>8</v>
      </c>
      <c r="F6" s="1">
        <v>8</v>
      </c>
      <c r="G6" s="1">
        <v>0</v>
      </c>
      <c r="H6" s="2"/>
      <c r="J6" s="1">
        <v>0.26</v>
      </c>
      <c r="K6" s="1">
        <f t="shared" si="1"/>
        <v>1.3</v>
      </c>
      <c r="L6" s="1">
        <f t="shared" si="2"/>
        <v>0.16250000000000001</v>
      </c>
    </row>
    <row r="7" spans="1:14">
      <c r="A7" s="1">
        <v>0</v>
      </c>
      <c r="B7" s="1">
        <v>1</v>
      </c>
      <c r="C7" s="1">
        <v>9</v>
      </c>
      <c r="D7" s="1">
        <v>1</v>
      </c>
      <c r="E7" s="1">
        <f t="shared" si="0"/>
        <v>8</v>
      </c>
      <c r="F7" s="1">
        <v>8</v>
      </c>
      <c r="G7" s="1">
        <v>0</v>
      </c>
      <c r="H7" s="2"/>
      <c r="J7" s="1">
        <v>0.12</v>
      </c>
      <c r="K7" s="1">
        <f t="shared" si="1"/>
        <v>0.6</v>
      </c>
      <c r="L7" s="1">
        <f t="shared" si="2"/>
        <v>7.4999999999999997E-2</v>
      </c>
    </row>
    <row r="8" spans="1:14">
      <c r="A8" s="1">
        <v>1</v>
      </c>
      <c r="B8" s="1">
        <v>2</v>
      </c>
      <c r="C8" s="1">
        <v>0</v>
      </c>
      <c r="D8" s="1">
        <v>1</v>
      </c>
      <c r="E8" s="1">
        <v>8</v>
      </c>
      <c r="F8" s="1">
        <v>5.5</v>
      </c>
      <c r="G8" s="1">
        <v>2</v>
      </c>
      <c r="H8" s="2"/>
      <c r="K8" s="1">
        <v>8.1</v>
      </c>
      <c r="L8" s="1">
        <f t="shared" ref="L8:L31" si="3">K8/$K$8</f>
        <v>1</v>
      </c>
    </row>
    <row r="9" spans="1:14">
      <c r="A9" s="1">
        <v>1</v>
      </c>
      <c r="B9" s="1">
        <v>2</v>
      </c>
      <c r="C9" s="1">
        <v>2</v>
      </c>
      <c r="D9" s="1">
        <v>1</v>
      </c>
      <c r="E9" s="1">
        <v>8</v>
      </c>
      <c r="F9" s="1">
        <v>5.5</v>
      </c>
      <c r="G9" s="1">
        <v>2</v>
      </c>
      <c r="K9" s="1">
        <v>5.4</v>
      </c>
      <c r="L9" s="1">
        <f t="shared" si="3"/>
        <v>0.66666666666666674</v>
      </c>
    </row>
    <row r="10" spans="1:14">
      <c r="A10" s="1">
        <v>1</v>
      </c>
      <c r="B10" s="1">
        <v>2</v>
      </c>
      <c r="C10" s="1">
        <v>4</v>
      </c>
      <c r="D10" s="1">
        <v>1</v>
      </c>
      <c r="E10" s="1">
        <v>8</v>
      </c>
      <c r="F10" s="1">
        <v>5.5</v>
      </c>
      <c r="G10" s="1">
        <v>2</v>
      </c>
      <c r="K10" s="1">
        <v>3</v>
      </c>
      <c r="L10" s="1">
        <f t="shared" si="3"/>
        <v>0.37037037037037041</v>
      </c>
    </row>
    <row r="11" spans="1:14">
      <c r="A11" s="1">
        <v>1</v>
      </c>
      <c r="B11" s="1">
        <v>2</v>
      </c>
      <c r="C11" s="1">
        <v>6</v>
      </c>
      <c r="D11" s="1">
        <v>1</v>
      </c>
      <c r="E11" s="1">
        <v>8</v>
      </c>
      <c r="F11" s="1">
        <v>5.5</v>
      </c>
      <c r="G11" s="1">
        <v>2</v>
      </c>
      <c r="K11" s="1">
        <v>1.5</v>
      </c>
      <c r="L11" s="1">
        <f t="shared" si="3"/>
        <v>0.1851851851851852</v>
      </c>
    </row>
    <row r="12" spans="1:14">
      <c r="A12" s="1">
        <v>1</v>
      </c>
      <c r="B12" s="1">
        <v>2</v>
      </c>
      <c r="C12" s="1">
        <v>8</v>
      </c>
      <c r="D12" s="1">
        <v>1</v>
      </c>
      <c r="E12" s="1">
        <v>8</v>
      </c>
      <c r="F12" s="1">
        <v>5.5</v>
      </c>
      <c r="G12" s="1">
        <v>2</v>
      </c>
      <c r="K12" s="1">
        <v>0.7</v>
      </c>
      <c r="L12" s="1">
        <f t="shared" si="3"/>
        <v>8.6419753086419748E-2</v>
      </c>
    </row>
    <row r="13" spans="1:14">
      <c r="A13" s="1">
        <v>1</v>
      </c>
      <c r="B13" s="1">
        <v>2</v>
      </c>
      <c r="C13" s="1">
        <v>10</v>
      </c>
      <c r="D13" s="1">
        <v>1</v>
      </c>
      <c r="E13" s="1">
        <v>8</v>
      </c>
      <c r="F13" s="1">
        <v>5.5</v>
      </c>
      <c r="G13" s="1">
        <v>2</v>
      </c>
      <c r="K13" s="1">
        <v>0.25</v>
      </c>
      <c r="L13" s="1">
        <f t="shared" si="3"/>
        <v>3.0864197530864199E-2</v>
      </c>
    </row>
    <row r="14" spans="1:14">
      <c r="A14" s="1">
        <v>2</v>
      </c>
      <c r="B14" s="1">
        <v>1</v>
      </c>
      <c r="C14" s="1">
        <v>0</v>
      </c>
      <c r="D14" s="1">
        <v>1</v>
      </c>
      <c r="E14" s="1">
        <v>8</v>
      </c>
      <c r="F14" s="1">
        <v>9.4</v>
      </c>
      <c r="G14" s="1">
        <v>2</v>
      </c>
      <c r="H14" s="2"/>
      <c r="J14" s="1">
        <v>1.7</v>
      </c>
      <c r="K14" s="1">
        <f t="shared" ref="K14:K31" si="4">J14*5</f>
        <v>8.5</v>
      </c>
      <c r="L14" s="1">
        <f t="shared" si="3"/>
        <v>1.0493827160493827</v>
      </c>
      <c r="M14" s="1">
        <v>47061</v>
      </c>
      <c r="N14" s="1">
        <f t="shared" ref="N14:N19" si="5">M14/$M$14</f>
        <v>1</v>
      </c>
    </row>
    <row r="15" spans="1:14">
      <c r="A15" s="1">
        <v>2</v>
      </c>
      <c r="B15" s="1">
        <v>1</v>
      </c>
      <c r="C15" s="1">
        <v>2</v>
      </c>
      <c r="D15" s="1">
        <v>1</v>
      </c>
      <c r="E15" s="1">
        <v>8</v>
      </c>
      <c r="F15" s="1">
        <v>9.4</v>
      </c>
      <c r="G15" s="1">
        <v>2</v>
      </c>
      <c r="J15" s="1">
        <v>1</v>
      </c>
      <c r="K15" s="1">
        <f t="shared" si="4"/>
        <v>5</v>
      </c>
      <c r="L15" s="1">
        <f t="shared" si="3"/>
        <v>0.61728395061728403</v>
      </c>
      <c r="M15" s="1">
        <v>35337</v>
      </c>
      <c r="N15" s="1">
        <f t="shared" si="5"/>
        <v>0.7508765219608593</v>
      </c>
    </row>
    <row r="16" spans="1:14">
      <c r="A16" s="1">
        <v>2</v>
      </c>
      <c r="B16" s="1">
        <v>1</v>
      </c>
      <c r="C16" s="1">
        <v>4</v>
      </c>
      <c r="D16" s="1">
        <v>1</v>
      </c>
      <c r="E16" s="1">
        <v>8</v>
      </c>
      <c r="F16" s="1">
        <v>9.4</v>
      </c>
      <c r="G16" s="1">
        <v>2</v>
      </c>
      <c r="J16" s="1">
        <v>0.76</v>
      </c>
      <c r="K16" s="1">
        <f t="shared" si="4"/>
        <v>3.8</v>
      </c>
      <c r="L16" s="1">
        <f t="shared" si="3"/>
        <v>0.46913580246913578</v>
      </c>
      <c r="M16" s="1">
        <v>38818</v>
      </c>
      <c r="N16" s="1">
        <f t="shared" si="5"/>
        <v>0.82484435094876862</v>
      </c>
    </row>
    <row r="17" spans="1:14">
      <c r="A17" s="1">
        <v>2</v>
      </c>
      <c r="B17" s="1">
        <v>1</v>
      </c>
      <c r="C17" s="1">
        <v>6</v>
      </c>
      <c r="D17" s="1">
        <v>1</v>
      </c>
      <c r="E17" s="1">
        <v>8</v>
      </c>
      <c r="F17" s="1">
        <v>9.4</v>
      </c>
      <c r="G17" s="1">
        <v>2</v>
      </c>
      <c r="J17" s="1">
        <v>0.47</v>
      </c>
      <c r="K17" s="1">
        <f t="shared" si="4"/>
        <v>2.3499999999999996</v>
      </c>
      <c r="L17" s="1">
        <f t="shared" si="3"/>
        <v>0.29012345679012341</v>
      </c>
      <c r="M17" s="1">
        <v>36909</v>
      </c>
      <c r="N17" s="1">
        <f t="shared" si="5"/>
        <v>0.78427997705106134</v>
      </c>
    </row>
    <row r="18" spans="1:14">
      <c r="A18" s="1">
        <v>2</v>
      </c>
      <c r="B18" s="1">
        <v>1</v>
      </c>
      <c r="C18" s="1">
        <v>8</v>
      </c>
      <c r="D18" s="1">
        <v>1</v>
      </c>
      <c r="E18" s="1">
        <v>8</v>
      </c>
      <c r="F18" s="1">
        <v>9.4</v>
      </c>
      <c r="G18" s="1">
        <v>2</v>
      </c>
      <c r="J18" s="1">
        <v>0.26</v>
      </c>
      <c r="K18" s="1">
        <f t="shared" si="4"/>
        <v>1.3</v>
      </c>
      <c r="L18" s="1">
        <f t="shared" si="3"/>
        <v>0.16049382716049385</v>
      </c>
      <c r="M18" s="1">
        <v>20974</v>
      </c>
      <c r="N18" s="1">
        <f t="shared" si="5"/>
        <v>0.44567688744395573</v>
      </c>
    </row>
    <row r="19" spans="1:14">
      <c r="A19" s="1">
        <v>2</v>
      </c>
      <c r="B19" s="1">
        <v>1</v>
      </c>
      <c r="C19" s="1">
        <v>10</v>
      </c>
      <c r="D19" s="1">
        <v>1</v>
      </c>
      <c r="E19" s="1">
        <v>8</v>
      </c>
      <c r="F19" s="1">
        <v>9.4</v>
      </c>
      <c r="G19" s="1">
        <v>2</v>
      </c>
      <c r="J19" s="1">
        <v>0.15</v>
      </c>
      <c r="K19" s="1">
        <f t="shared" si="4"/>
        <v>0.75</v>
      </c>
      <c r="L19" s="1">
        <f t="shared" si="3"/>
        <v>9.2592592592592601E-2</v>
      </c>
      <c r="M19" s="1">
        <v>23854</v>
      </c>
      <c r="N19" s="1">
        <f t="shared" si="5"/>
        <v>0.50687405707486033</v>
      </c>
    </row>
    <row r="20" spans="1:14">
      <c r="A20" s="1">
        <v>3</v>
      </c>
      <c r="B20" s="1">
        <v>2</v>
      </c>
      <c r="C20" s="1">
        <v>0</v>
      </c>
      <c r="D20" s="1">
        <v>1</v>
      </c>
      <c r="E20" s="1">
        <v>8</v>
      </c>
      <c r="F20" s="1">
        <v>9.4</v>
      </c>
      <c r="G20" s="1">
        <v>2</v>
      </c>
      <c r="H20" s="2"/>
      <c r="J20" s="1">
        <v>1.72</v>
      </c>
      <c r="K20" s="1">
        <f t="shared" si="4"/>
        <v>8.6</v>
      </c>
      <c r="L20" s="1">
        <f t="shared" si="3"/>
        <v>1.0617283950617284</v>
      </c>
      <c r="M20" s="1">
        <f>AVERAGE(9589,27130)</f>
        <v>18359.5</v>
      </c>
      <c r="N20" s="1">
        <f t="shared" ref="N20:N31" si="6">M14/$M$20</f>
        <v>2.5633051009014407</v>
      </c>
    </row>
    <row r="21" spans="1:14" ht="15.75" customHeight="1">
      <c r="A21" s="1">
        <v>3</v>
      </c>
      <c r="B21" s="1">
        <v>2</v>
      </c>
      <c r="C21" s="1">
        <v>2</v>
      </c>
      <c r="D21" s="1">
        <v>1</v>
      </c>
      <c r="E21" s="1">
        <v>8</v>
      </c>
      <c r="F21" s="1">
        <v>9.4</v>
      </c>
      <c r="G21" s="1">
        <v>2</v>
      </c>
      <c r="J21" s="1">
        <v>1.18</v>
      </c>
      <c r="K21" s="1">
        <f t="shared" si="4"/>
        <v>5.8999999999999995</v>
      </c>
      <c r="L21" s="1">
        <f t="shared" si="3"/>
        <v>0.72839506172839508</v>
      </c>
      <c r="M21" s="1">
        <f>AVERAGE(31802,22308)</f>
        <v>27055</v>
      </c>
      <c r="N21" s="1">
        <f t="shared" si="6"/>
        <v>1.9247256188894033</v>
      </c>
    </row>
    <row r="22" spans="1:14" ht="15.75" customHeight="1">
      <c r="A22" s="1">
        <v>3</v>
      </c>
      <c r="B22" s="1">
        <v>2</v>
      </c>
      <c r="C22" s="1">
        <v>4</v>
      </c>
      <c r="D22" s="1">
        <v>1</v>
      </c>
      <c r="E22" s="1">
        <v>8</v>
      </c>
      <c r="F22" s="1">
        <v>9.4</v>
      </c>
      <c r="G22" s="1">
        <v>2</v>
      </c>
      <c r="J22" s="1">
        <v>0.76</v>
      </c>
      <c r="K22" s="1">
        <f t="shared" si="4"/>
        <v>3.8</v>
      </c>
      <c r="L22" s="1">
        <f t="shared" si="3"/>
        <v>0.46913580246913578</v>
      </c>
      <c r="M22" s="1">
        <f>AVERAGE(27178,36909)</f>
        <v>32043.5</v>
      </c>
      <c r="N22" s="1">
        <f t="shared" si="6"/>
        <v>2.1143277322367169</v>
      </c>
    </row>
    <row r="23" spans="1:14" ht="15.75" customHeight="1">
      <c r="A23" s="1">
        <v>3</v>
      </c>
      <c r="B23" s="1">
        <v>2</v>
      </c>
      <c r="C23" s="1">
        <v>6</v>
      </c>
      <c r="D23" s="1">
        <v>1</v>
      </c>
      <c r="E23" s="1">
        <v>8</v>
      </c>
      <c r="F23" s="1">
        <v>9.4</v>
      </c>
      <c r="G23" s="1">
        <v>2</v>
      </c>
      <c r="J23" s="1">
        <v>0.46</v>
      </c>
      <c r="K23" s="1">
        <f t="shared" si="4"/>
        <v>2.3000000000000003</v>
      </c>
      <c r="L23" s="1">
        <f t="shared" si="3"/>
        <v>0.28395061728395066</v>
      </c>
      <c r="M23" s="1">
        <f>AVERAGE(17601,23134)</f>
        <v>20367.5</v>
      </c>
      <c r="N23" s="1">
        <f t="shared" si="6"/>
        <v>2.0103488657098505</v>
      </c>
    </row>
    <row r="24" spans="1:14" ht="15.75" customHeight="1">
      <c r="A24" s="1">
        <v>3</v>
      </c>
      <c r="B24" s="1">
        <v>2</v>
      </c>
      <c r="C24" s="1">
        <v>8</v>
      </c>
      <c r="D24" s="1">
        <v>1</v>
      </c>
      <c r="E24" s="1">
        <v>8</v>
      </c>
      <c r="F24" s="1">
        <v>9.4</v>
      </c>
      <c r="G24" s="1">
        <v>2</v>
      </c>
      <c r="J24" s="1">
        <v>0.28999999999999998</v>
      </c>
      <c r="K24" s="1">
        <f t="shared" si="4"/>
        <v>1.45</v>
      </c>
      <c r="L24" s="1">
        <f t="shared" si="3"/>
        <v>0.17901234567901234</v>
      </c>
      <c r="M24" s="1">
        <f>AVERAGE(20974,16071)</f>
        <v>18522.5</v>
      </c>
      <c r="N24" s="1">
        <f t="shared" si="6"/>
        <v>1.1424058389389689</v>
      </c>
    </row>
    <row r="25" spans="1:14" ht="15.75" customHeight="1">
      <c r="A25" s="1">
        <v>3</v>
      </c>
      <c r="B25" s="1">
        <v>2</v>
      </c>
      <c r="C25" s="1">
        <v>10</v>
      </c>
      <c r="D25" s="1">
        <v>1</v>
      </c>
      <c r="E25" s="1">
        <v>8</v>
      </c>
      <c r="F25" s="1">
        <v>9.4</v>
      </c>
      <c r="G25" s="1">
        <v>2</v>
      </c>
      <c r="J25" s="1">
        <v>0.16</v>
      </c>
      <c r="K25" s="1">
        <f t="shared" si="4"/>
        <v>0.8</v>
      </c>
      <c r="L25" s="1">
        <f t="shared" si="3"/>
        <v>9.876543209876544E-2</v>
      </c>
      <c r="M25" s="1">
        <f>AVERAGE(4967,16631)</f>
        <v>10799</v>
      </c>
      <c r="N25" s="1">
        <f t="shared" si="6"/>
        <v>1.2992728560145974</v>
      </c>
    </row>
    <row r="26" spans="1:14" ht="15.75" customHeight="1">
      <c r="A26" s="1">
        <v>4</v>
      </c>
      <c r="B26" s="1">
        <v>1</v>
      </c>
      <c r="C26" s="1">
        <v>0</v>
      </c>
      <c r="D26" s="1">
        <v>1</v>
      </c>
      <c r="E26" s="1">
        <v>8</v>
      </c>
      <c r="F26" s="1">
        <v>5.5</v>
      </c>
      <c r="G26" s="1">
        <v>2</v>
      </c>
      <c r="H26" s="2"/>
      <c r="J26" s="1">
        <v>1.72</v>
      </c>
      <c r="K26" s="1">
        <f t="shared" si="4"/>
        <v>8.6</v>
      </c>
      <c r="L26" s="1">
        <f t="shared" si="3"/>
        <v>1.0617283950617284</v>
      </c>
      <c r="N26" s="1">
        <f t="shared" si="6"/>
        <v>1</v>
      </c>
    </row>
    <row r="27" spans="1:14" ht="15.75" customHeight="1">
      <c r="A27" s="1">
        <v>4</v>
      </c>
      <c r="B27" s="1">
        <v>1</v>
      </c>
      <c r="C27" s="1">
        <v>2</v>
      </c>
      <c r="D27" s="1">
        <v>1</v>
      </c>
      <c r="E27" s="1">
        <v>8</v>
      </c>
      <c r="F27" s="1">
        <v>5.5</v>
      </c>
      <c r="G27" s="1">
        <v>2</v>
      </c>
      <c r="J27" s="1">
        <v>1.04</v>
      </c>
      <c r="K27" s="1">
        <f t="shared" si="4"/>
        <v>5.2</v>
      </c>
      <c r="L27" s="1">
        <f t="shared" si="3"/>
        <v>0.64197530864197538</v>
      </c>
      <c r="N27" s="1">
        <f t="shared" si="6"/>
        <v>1.473624009368447</v>
      </c>
    </row>
    <row r="28" spans="1:14" ht="15.75" customHeight="1">
      <c r="A28" s="1">
        <v>4</v>
      </c>
      <c r="B28" s="1">
        <v>1</v>
      </c>
      <c r="C28" s="1">
        <v>4</v>
      </c>
      <c r="D28" s="1">
        <v>1</v>
      </c>
      <c r="E28" s="1">
        <v>8</v>
      </c>
      <c r="F28" s="1">
        <v>5.5</v>
      </c>
      <c r="G28" s="1">
        <v>2</v>
      </c>
      <c r="J28" s="1">
        <v>0.52</v>
      </c>
      <c r="K28" s="1">
        <f t="shared" si="4"/>
        <v>2.6</v>
      </c>
      <c r="L28" s="1">
        <f t="shared" si="3"/>
        <v>0.32098765432098769</v>
      </c>
      <c r="N28" s="1">
        <f t="shared" si="6"/>
        <v>1.7453362019662846</v>
      </c>
    </row>
    <row r="29" spans="1:14" ht="15.75" customHeight="1">
      <c r="A29" s="1">
        <v>4</v>
      </c>
      <c r="B29" s="1">
        <v>1</v>
      </c>
      <c r="C29" s="1">
        <v>6</v>
      </c>
      <c r="D29" s="1">
        <v>1</v>
      </c>
      <c r="E29" s="1">
        <v>8</v>
      </c>
      <c r="F29" s="1">
        <v>5.5</v>
      </c>
      <c r="G29" s="1">
        <v>2</v>
      </c>
      <c r="J29" s="1">
        <v>0.34</v>
      </c>
      <c r="K29" s="1">
        <f t="shared" si="4"/>
        <v>1.7000000000000002</v>
      </c>
      <c r="L29" s="1">
        <f t="shared" si="3"/>
        <v>0.20987654320987659</v>
      </c>
      <c r="N29" s="1">
        <f t="shared" si="6"/>
        <v>1.1093711702388409</v>
      </c>
    </row>
    <row r="30" spans="1:14" ht="15.75" customHeight="1">
      <c r="A30" s="1">
        <v>4</v>
      </c>
      <c r="B30" s="1">
        <v>1</v>
      </c>
      <c r="C30" s="1">
        <v>8</v>
      </c>
      <c r="D30" s="1">
        <v>1</v>
      </c>
      <c r="E30" s="1">
        <v>8</v>
      </c>
      <c r="F30" s="1">
        <v>5.5</v>
      </c>
      <c r="G30" s="1">
        <v>2</v>
      </c>
      <c r="J30" s="1">
        <v>0.17</v>
      </c>
      <c r="K30" s="1">
        <f t="shared" si="4"/>
        <v>0.85000000000000009</v>
      </c>
      <c r="L30" s="1">
        <f t="shared" si="3"/>
        <v>0.10493827160493829</v>
      </c>
      <c r="N30" s="1">
        <f t="shared" si="6"/>
        <v>1.0088782374247665</v>
      </c>
    </row>
    <row r="31" spans="1:14" ht="15.75" customHeight="1">
      <c r="A31" s="1">
        <v>4</v>
      </c>
      <c r="B31" s="1">
        <v>1</v>
      </c>
      <c r="C31" s="1">
        <v>10</v>
      </c>
      <c r="D31" s="1">
        <v>1</v>
      </c>
      <c r="E31" s="1">
        <v>8</v>
      </c>
      <c r="F31" s="1">
        <v>5.5</v>
      </c>
      <c r="G31" s="1">
        <v>2</v>
      </c>
      <c r="J31" s="1">
        <v>0.08</v>
      </c>
      <c r="K31" s="1">
        <f t="shared" si="4"/>
        <v>0.4</v>
      </c>
      <c r="L31" s="1">
        <f t="shared" si="3"/>
        <v>4.938271604938272E-2</v>
      </c>
      <c r="N31" s="1">
        <f t="shared" si="6"/>
        <v>0.58819684631934421</v>
      </c>
    </row>
    <row r="32" spans="1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00"/>
  <sheetViews>
    <sheetView workbookViewId="0"/>
  </sheetViews>
  <sheetFormatPr baseColWidth="10" defaultColWidth="14.42578125" defaultRowHeight="15" customHeight="1"/>
  <cols>
    <col min="1" max="1" width="8.7109375" customWidth="1"/>
    <col min="2" max="2" width="16" customWidth="1"/>
    <col min="3" max="4" width="20" customWidth="1"/>
    <col min="5" max="7" width="8.7109375" customWidth="1"/>
    <col min="8" max="8" width="22.140625" customWidth="1"/>
    <col min="9" max="9" width="16.140625" customWidth="1"/>
    <col min="10" max="10" width="20.140625" customWidth="1"/>
    <col min="11" max="11" width="17.85546875" customWidth="1"/>
    <col min="12" max="26" width="8.7109375" customWidth="1"/>
  </cols>
  <sheetData>
    <row r="1" spans="1:11">
      <c r="A1" s="1" t="s">
        <v>0</v>
      </c>
      <c r="B1" s="1" t="s">
        <v>14</v>
      </c>
      <c r="C1" s="1" t="s">
        <v>16</v>
      </c>
      <c r="D1" s="1" t="s">
        <v>17</v>
      </c>
      <c r="E1" s="1" t="s">
        <v>10</v>
      </c>
      <c r="F1" s="1" t="s">
        <v>2</v>
      </c>
      <c r="G1" s="1" t="s">
        <v>3</v>
      </c>
      <c r="H1" s="1" t="s">
        <v>4</v>
      </c>
      <c r="I1" s="1" t="s">
        <v>18</v>
      </c>
      <c r="J1" s="1" t="s">
        <v>8</v>
      </c>
      <c r="K1" s="1" t="s">
        <v>9</v>
      </c>
    </row>
    <row r="2" spans="1:11">
      <c r="A2" s="1">
        <v>0</v>
      </c>
      <c r="B2" s="1">
        <v>2</v>
      </c>
      <c r="C2" s="1">
        <v>1</v>
      </c>
      <c r="D2" s="1">
        <v>1</v>
      </c>
      <c r="E2" s="1">
        <v>1</v>
      </c>
      <c r="F2" s="1">
        <v>8</v>
      </c>
      <c r="G2" s="1">
        <v>9.4</v>
      </c>
      <c r="H2" s="1">
        <v>2</v>
      </c>
      <c r="I2" s="1">
        <f t="shared" ref="I2:I19" si="0">AVERAGE(66185,61605,69860,68053)</f>
        <v>66425.75</v>
      </c>
      <c r="J2" s="1">
        <v>47061</v>
      </c>
      <c r="K2" s="1">
        <f t="shared" ref="K2:K7" si="1">J2/$I$2</f>
        <v>0.70847525244351772</v>
      </c>
    </row>
    <row r="3" spans="1:11">
      <c r="A3" s="1">
        <v>2</v>
      </c>
      <c r="B3" s="1">
        <v>2</v>
      </c>
      <c r="C3" s="1">
        <v>1</v>
      </c>
      <c r="D3" s="1">
        <v>1</v>
      </c>
      <c r="E3" s="1">
        <v>1</v>
      </c>
      <c r="F3" s="1">
        <v>8</v>
      </c>
      <c r="G3" s="1">
        <v>9.4</v>
      </c>
      <c r="H3" s="1">
        <v>2</v>
      </c>
      <c r="I3" s="1">
        <f t="shared" si="0"/>
        <v>66425.75</v>
      </c>
      <c r="J3" s="1">
        <v>35337</v>
      </c>
      <c r="K3" s="1">
        <f t="shared" si="1"/>
        <v>0.53197743345013038</v>
      </c>
    </row>
    <row r="4" spans="1:11">
      <c r="A4" s="1">
        <v>4</v>
      </c>
      <c r="B4" s="1">
        <v>2</v>
      </c>
      <c r="C4" s="1">
        <v>1</v>
      </c>
      <c r="D4" s="1">
        <v>1</v>
      </c>
      <c r="E4" s="1">
        <v>1</v>
      </c>
      <c r="F4" s="1">
        <v>8</v>
      </c>
      <c r="G4" s="1">
        <v>9.4</v>
      </c>
      <c r="H4" s="1">
        <v>2</v>
      </c>
      <c r="I4" s="1">
        <f t="shared" si="0"/>
        <v>66425.75</v>
      </c>
      <c r="J4" s="1">
        <v>38818</v>
      </c>
      <c r="K4" s="1">
        <f t="shared" si="1"/>
        <v>0.5843818097650384</v>
      </c>
    </row>
    <row r="5" spans="1:11">
      <c r="A5" s="1">
        <v>6</v>
      </c>
      <c r="B5" s="1">
        <v>2</v>
      </c>
      <c r="C5" s="1">
        <v>1</v>
      </c>
      <c r="D5" s="1">
        <v>1</v>
      </c>
      <c r="E5" s="1">
        <v>1</v>
      </c>
      <c r="F5" s="1">
        <v>8</v>
      </c>
      <c r="G5" s="1">
        <v>9.4</v>
      </c>
      <c r="H5" s="1">
        <v>2</v>
      </c>
      <c r="I5" s="1">
        <f t="shared" si="0"/>
        <v>66425.75</v>
      </c>
      <c r="J5" s="1">
        <v>36909</v>
      </c>
      <c r="K5" s="1">
        <f t="shared" si="1"/>
        <v>0.55564295472764702</v>
      </c>
    </row>
    <row r="6" spans="1:11">
      <c r="A6" s="1">
        <v>8</v>
      </c>
      <c r="B6" s="1">
        <v>2</v>
      </c>
      <c r="C6" s="1">
        <v>1</v>
      </c>
      <c r="D6" s="1">
        <v>1</v>
      </c>
      <c r="E6" s="1">
        <v>1</v>
      </c>
      <c r="F6" s="1">
        <v>8</v>
      </c>
      <c r="G6" s="1">
        <v>9.4</v>
      </c>
      <c r="H6" s="1">
        <v>2</v>
      </c>
      <c r="I6" s="1">
        <f t="shared" si="0"/>
        <v>66425.75</v>
      </c>
      <c r="J6" s="1">
        <v>20974</v>
      </c>
      <c r="K6" s="1">
        <f t="shared" si="1"/>
        <v>0.31575104534009779</v>
      </c>
    </row>
    <row r="7" spans="1:11">
      <c r="A7" s="1">
        <v>10</v>
      </c>
      <c r="B7" s="1">
        <v>2</v>
      </c>
      <c r="C7" s="1">
        <v>1</v>
      </c>
      <c r="D7" s="1">
        <v>1</v>
      </c>
      <c r="E7" s="1">
        <v>1</v>
      </c>
      <c r="F7" s="1">
        <v>8</v>
      </c>
      <c r="G7" s="1">
        <v>9.4</v>
      </c>
      <c r="H7" s="1">
        <v>2</v>
      </c>
      <c r="I7" s="1">
        <f t="shared" si="0"/>
        <v>66425.75</v>
      </c>
      <c r="J7" s="1">
        <v>23854</v>
      </c>
      <c r="K7" s="1">
        <f t="shared" si="1"/>
        <v>0.35910772554318166</v>
      </c>
    </row>
    <row r="8" spans="1:11">
      <c r="A8" s="1">
        <v>0</v>
      </c>
      <c r="B8" s="1">
        <v>3</v>
      </c>
      <c r="C8" s="1">
        <v>2</v>
      </c>
      <c r="D8" s="1">
        <v>1</v>
      </c>
      <c r="E8" s="1">
        <v>1</v>
      </c>
      <c r="F8" s="1">
        <v>8</v>
      </c>
      <c r="G8" s="1">
        <v>9.4</v>
      </c>
      <c r="H8" s="1">
        <v>2</v>
      </c>
      <c r="I8" s="1">
        <f t="shared" si="0"/>
        <v>66425.75</v>
      </c>
      <c r="J8" s="1">
        <v>9589</v>
      </c>
    </row>
    <row r="9" spans="1:11">
      <c r="A9" s="1">
        <v>2</v>
      </c>
      <c r="B9" s="1">
        <v>3</v>
      </c>
      <c r="C9" s="1">
        <v>2</v>
      </c>
      <c r="D9" s="1">
        <v>1</v>
      </c>
      <c r="E9" s="1">
        <v>1</v>
      </c>
      <c r="F9" s="1">
        <v>8</v>
      </c>
      <c r="G9" s="1">
        <v>9.4</v>
      </c>
      <c r="H9" s="1">
        <v>2</v>
      </c>
      <c r="I9" s="1">
        <f t="shared" si="0"/>
        <v>66425.75</v>
      </c>
      <c r="J9" s="1">
        <v>31802</v>
      </c>
      <c r="K9" s="1">
        <f t="shared" ref="K9:K12" si="2">J9/$I$2</f>
        <v>0.47876011938141461</v>
      </c>
    </row>
    <row r="10" spans="1:11">
      <c r="A10" s="1">
        <v>4</v>
      </c>
      <c r="B10" s="1">
        <v>3</v>
      </c>
      <c r="C10" s="1">
        <v>2</v>
      </c>
      <c r="D10" s="1">
        <v>1</v>
      </c>
      <c r="E10" s="1">
        <v>1</v>
      </c>
      <c r="F10" s="1">
        <v>8</v>
      </c>
      <c r="G10" s="1">
        <v>9.4</v>
      </c>
      <c r="H10" s="1">
        <v>2</v>
      </c>
      <c r="I10" s="1">
        <f t="shared" si="0"/>
        <v>66425.75</v>
      </c>
      <c r="J10" s="1">
        <v>27178</v>
      </c>
      <c r="K10" s="1">
        <f t="shared" si="2"/>
        <v>0.40914856061090765</v>
      </c>
    </row>
    <row r="11" spans="1:11">
      <c r="A11" s="1">
        <v>6</v>
      </c>
      <c r="B11" s="1">
        <v>3</v>
      </c>
      <c r="C11" s="1">
        <v>2</v>
      </c>
      <c r="D11" s="1">
        <v>1</v>
      </c>
      <c r="E11" s="1">
        <v>1</v>
      </c>
      <c r="F11" s="1">
        <v>8</v>
      </c>
      <c r="G11" s="1">
        <v>9.4</v>
      </c>
      <c r="H11" s="1">
        <v>2</v>
      </c>
      <c r="I11" s="1">
        <f t="shared" si="0"/>
        <v>66425.75</v>
      </c>
      <c r="J11" s="1">
        <v>23134</v>
      </c>
      <c r="K11" s="1">
        <f t="shared" si="2"/>
        <v>0.3482685554924107</v>
      </c>
    </row>
    <row r="12" spans="1:11">
      <c r="A12" s="1">
        <v>8</v>
      </c>
      <c r="B12" s="1">
        <v>3</v>
      </c>
      <c r="C12" s="1">
        <v>2</v>
      </c>
      <c r="D12" s="1">
        <v>1</v>
      </c>
      <c r="E12" s="1">
        <v>1</v>
      </c>
      <c r="F12" s="1">
        <v>8</v>
      </c>
      <c r="G12" s="1">
        <v>9.4</v>
      </c>
      <c r="H12" s="1">
        <v>2</v>
      </c>
      <c r="I12" s="1">
        <f t="shared" si="0"/>
        <v>66425.75</v>
      </c>
      <c r="J12" s="1">
        <v>20974</v>
      </c>
      <c r="K12" s="1">
        <f t="shared" si="2"/>
        <v>0.31575104534009779</v>
      </c>
    </row>
    <row r="13" spans="1:11">
      <c r="A13" s="1">
        <v>10</v>
      </c>
      <c r="B13" s="1">
        <v>3</v>
      </c>
      <c r="C13" s="1">
        <v>2</v>
      </c>
      <c r="D13" s="1">
        <v>1</v>
      </c>
      <c r="E13" s="1">
        <v>1</v>
      </c>
      <c r="F13" s="1">
        <v>8</v>
      </c>
      <c r="G13" s="1">
        <v>9.4</v>
      </c>
      <c r="H13" s="1">
        <v>2</v>
      </c>
      <c r="I13" s="1">
        <f t="shared" si="0"/>
        <v>66425.75</v>
      </c>
      <c r="J13" s="1">
        <v>4967</v>
      </c>
    </row>
    <row r="14" spans="1:11">
      <c r="A14" s="1">
        <v>0</v>
      </c>
      <c r="B14" s="1">
        <v>3</v>
      </c>
      <c r="C14" s="1">
        <v>2</v>
      </c>
      <c r="D14" s="1">
        <v>2</v>
      </c>
      <c r="E14" s="1">
        <v>1</v>
      </c>
      <c r="F14" s="1">
        <v>8</v>
      </c>
      <c r="G14" s="1">
        <v>9.4</v>
      </c>
      <c r="H14" s="1">
        <v>2</v>
      </c>
      <c r="I14" s="1">
        <f t="shared" si="0"/>
        <v>66425.75</v>
      </c>
      <c r="J14" s="1">
        <f>27130*1.25</f>
        <v>33912.5</v>
      </c>
      <c r="K14" s="1">
        <f t="shared" ref="K14:K15" si="3">J14/$I$2</f>
        <v>0.51053243659273695</v>
      </c>
    </row>
    <row r="15" spans="1:11">
      <c r="A15" s="1">
        <v>2</v>
      </c>
      <c r="B15" s="1">
        <v>3</v>
      </c>
      <c r="C15" s="1">
        <v>2</v>
      </c>
      <c r="D15" s="1">
        <v>2</v>
      </c>
      <c r="E15" s="1">
        <v>1</v>
      </c>
      <c r="F15" s="1">
        <v>8</v>
      </c>
      <c r="G15" s="1">
        <v>9.4</v>
      </c>
      <c r="H15" s="1">
        <v>2</v>
      </c>
      <c r="I15" s="1">
        <f t="shared" si="0"/>
        <v>66425.75</v>
      </c>
      <c r="J15" s="1">
        <f>22308*1.25</f>
        <v>27885</v>
      </c>
      <c r="K15" s="1">
        <f t="shared" si="3"/>
        <v>0.41979202342465083</v>
      </c>
    </row>
    <row r="16" spans="1:11">
      <c r="A16" s="1">
        <v>4</v>
      </c>
      <c r="B16" s="1">
        <v>3</v>
      </c>
      <c r="C16" s="1">
        <v>2</v>
      </c>
      <c r="D16" s="1">
        <v>2</v>
      </c>
      <c r="E16" s="1">
        <v>1</v>
      </c>
      <c r="F16" s="1">
        <v>8</v>
      </c>
      <c r="G16" s="1">
        <v>9.4</v>
      </c>
      <c r="H16" s="1">
        <v>2</v>
      </c>
      <c r="I16" s="1">
        <f t="shared" si="0"/>
        <v>66425.75</v>
      </c>
      <c r="J16" s="1">
        <f>36909*1.25</f>
        <v>46136.25</v>
      </c>
    </row>
    <row r="17" spans="1:11">
      <c r="A17" s="1">
        <v>6</v>
      </c>
      <c r="B17" s="1">
        <v>3</v>
      </c>
      <c r="C17" s="1">
        <v>2</v>
      </c>
      <c r="D17" s="1">
        <v>2</v>
      </c>
      <c r="E17" s="1">
        <v>1</v>
      </c>
      <c r="F17" s="1">
        <v>8</v>
      </c>
      <c r="G17" s="1">
        <v>9.4</v>
      </c>
      <c r="H17" s="1">
        <v>2</v>
      </c>
      <c r="I17" s="1">
        <f t="shared" si="0"/>
        <v>66425.75</v>
      </c>
      <c r="J17" s="1">
        <f>17601*1.25</f>
        <v>22001.25</v>
      </c>
      <c r="K17" s="1">
        <f t="shared" ref="K17:K19" si="4">J17/$I$2</f>
        <v>0.33121568066600676</v>
      </c>
    </row>
    <row r="18" spans="1:11">
      <c r="A18" s="1">
        <v>8</v>
      </c>
      <c r="B18" s="1">
        <v>3</v>
      </c>
      <c r="C18" s="1">
        <v>2</v>
      </c>
      <c r="D18" s="1">
        <v>2</v>
      </c>
      <c r="E18" s="1">
        <v>1</v>
      </c>
      <c r="F18" s="1">
        <v>8</v>
      </c>
      <c r="G18" s="1">
        <v>9.4</v>
      </c>
      <c r="H18" s="1">
        <v>2</v>
      </c>
      <c r="I18" s="1">
        <f t="shared" si="0"/>
        <v>66425.75</v>
      </c>
      <c r="J18" s="1">
        <f>16071*1.25</f>
        <v>20088.75</v>
      </c>
      <c r="K18" s="1">
        <f t="shared" si="4"/>
        <v>0.30242413521864636</v>
      </c>
    </row>
    <row r="19" spans="1:11">
      <c r="A19" s="1">
        <v>10</v>
      </c>
      <c r="B19" s="1">
        <v>3</v>
      </c>
      <c r="C19" s="1">
        <v>2</v>
      </c>
      <c r="D19" s="1">
        <v>2</v>
      </c>
      <c r="E19" s="1">
        <v>1</v>
      </c>
      <c r="F19" s="1">
        <v>8</v>
      </c>
      <c r="G19" s="1">
        <v>9.4</v>
      </c>
      <c r="H19" s="1">
        <v>2</v>
      </c>
      <c r="I19" s="1">
        <f t="shared" si="0"/>
        <v>66425.75</v>
      </c>
      <c r="J19" s="1">
        <f>16631*1.25</f>
        <v>20788.75</v>
      </c>
      <c r="K19" s="1">
        <f t="shared" si="4"/>
        <v>0.31296221721245149</v>
      </c>
    </row>
    <row r="21" spans="1:11" ht="15.75" customHeight="1"/>
    <row r="22" spans="1:11" ht="15.75" customHeight="1"/>
    <row r="23" spans="1:11" ht="15.75" customHeight="1"/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00"/>
  <sheetViews>
    <sheetView workbookViewId="0"/>
  </sheetViews>
  <sheetFormatPr baseColWidth="10" defaultColWidth="14.42578125" defaultRowHeight="15" customHeight="1"/>
  <cols>
    <col min="1" max="1" width="8.7109375" customWidth="1"/>
    <col min="2" max="2" width="13.85546875" customWidth="1"/>
    <col min="3" max="3" width="20.5703125" customWidth="1"/>
    <col min="4" max="5" width="8.7109375" customWidth="1"/>
    <col min="6" max="6" width="13.85546875" customWidth="1"/>
    <col min="7" max="7" width="26.28515625" customWidth="1"/>
    <col min="8" max="9" width="16.5703125" customWidth="1"/>
    <col min="10" max="10" width="8.7109375" customWidth="1"/>
    <col min="11" max="11" width="15" customWidth="1"/>
    <col min="12" max="12" width="15.140625" customWidth="1"/>
    <col min="13" max="13" width="16.85546875" customWidth="1"/>
    <col min="14" max="14" width="14.85546875" customWidth="1"/>
    <col min="15" max="26" width="8.7109375" customWidth="1"/>
  </cols>
  <sheetData>
    <row r="1" spans="1:14">
      <c r="A1" s="1" t="s">
        <v>0</v>
      </c>
      <c r="B1" s="1" t="s">
        <v>14</v>
      </c>
      <c r="C1" s="1" t="s">
        <v>16</v>
      </c>
      <c r="D1" s="1" t="s">
        <v>17</v>
      </c>
      <c r="E1" s="1" t="s">
        <v>10</v>
      </c>
      <c r="F1" s="1" t="s">
        <v>2</v>
      </c>
      <c r="G1" s="1" t="s">
        <v>19</v>
      </c>
      <c r="H1" s="1" t="s">
        <v>7</v>
      </c>
      <c r="I1" s="1" t="s">
        <v>15</v>
      </c>
      <c r="J1" s="1" t="s">
        <v>3</v>
      </c>
      <c r="K1" s="1" t="s">
        <v>4</v>
      </c>
      <c r="L1" s="1" t="s">
        <v>18</v>
      </c>
      <c r="M1" s="1" t="s">
        <v>8</v>
      </c>
      <c r="N1" s="1" t="s">
        <v>9</v>
      </c>
    </row>
    <row r="2" spans="1:14">
      <c r="A2" s="1">
        <v>0</v>
      </c>
      <c r="D2" s="1">
        <v>1</v>
      </c>
      <c r="E2" s="1">
        <v>1</v>
      </c>
      <c r="F2" s="1">
        <v>8.3000000000000007</v>
      </c>
      <c r="G2" s="1">
        <v>1.66</v>
      </c>
      <c r="H2" s="1">
        <f t="shared" ref="H2:H23" si="0">G2*5</f>
        <v>8.2999999999999989</v>
      </c>
      <c r="I2" s="1">
        <f t="shared" ref="I2:I23" si="1">H2/F2</f>
        <v>0.99999999999999978</v>
      </c>
      <c r="J2" s="1">
        <v>5.5</v>
      </c>
      <c r="K2" s="1">
        <v>2</v>
      </c>
      <c r="L2" s="1">
        <v>80.92</v>
      </c>
      <c r="M2" s="1">
        <v>80.92</v>
      </c>
      <c r="N2" s="1">
        <f t="shared" ref="N2:N12" si="2">M2/$L$2</f>
        <v>1</v>
      </c>
    </row>
    <row r="3" spans="1:14">
      <c r="A3" s="1">
        <v>0.43</v>
      </c>
      <c r="D3" s="1">
        <v>1</v>
      </c>
      <c r="E3" s="1">
        <v>1</v>
      </c>
      <c r="F3" s="1">
        <v>8.3000000000000007</v>
      </c>
      <c r="G3" s="1">
        <v>1.58</v>
      </c>
      <c r="H3" s="1">
        <f t="shared" si="0"/>
        <v>7.9</v>
      </c>
      <c r="I3" s="1">
        <f t="shared" si="1"/>
        <v>0.95180722891566261</v>
      </c>
      <c r="J3" s="1">
        <v>5.5</v>
      </c>
      <c r="K3" s="1">
        <v>2</v>
      </c>
      <c r="M3" s="1">
        <v>53.07</v>
      </c>
      <c r="N3" s="1">
        <f t="shared" si="2"/>
        <v>0.65583292140385563</v>
      </c>
    </row>
    <row r="4" spans="1:14">
      <c r="A4" s="1">
        <v>0.66</v>
      </c>
      <c r="D4" s="1">
        <v>1</v>
      </c>
      <c r="E4" s="1">
        <v>1</v>
      </c>
      <c r="F4" s="1">
        <v>8.3000000000000007</v>
      </c>
      <c r="G4" s="1">
        <v>1.46</v>
      </c>
      <c r="H4" s="1">
        <f t="shared" si="0"/>
        <v>7.3</v>
      </c>
      <c r="I4" s="1">
        <f t="shared" si="1"/>
        <v>0.87951807228915657</v>
      </c>
      <c r="J4" s="1">
        <v>5.5</v>
      </c>
      <c r="K4" s="1">
        <v>2</v>
      </c>
      <c r="M4" s="1">
        <v>38.04</v>
      </c>
      <c r="N4" s="1">
        <f t="shared" si="2"/>
        <v>0.47009391992090954</v>
      </c>
    </row>
    <row r="5" spans="1:14">
      <c r="A5" s="1">
        <v>1</v>
      </c>
      <c r="D5" s="1">
        <v>1</v>
      </c>
      <c r="E5" s="1">
        <v>1</v>
      </c>
      <c r="F5" s="1">
        <v>8.3000000000000007</v>
      </c>
      <c r="G5" s="1">
        <v>1.33</v>
      </c>
      <c r="H5" s="1">
        <f t="shared" si="0"/>
        <v>6.65</v>
      </c>
      <c r="I5" s="1">
        <f t="shared" si="1"/>
        <v>0.8012048192771084</v>
      </c>
      <c r="J5" s="1">
        <v>5.5</v>
      </c>
      <c r="K5" s="1">
        <v>2</v>
      </c>
      <c r="M5" s="1">
        <v>21.28</v>
      </c>
      <c r="N5" s="1">
        <f t="shared" si="2"/>
        <v>0.26297577854671284</v>
      </c>
    </row>
    <row r="6" spans="1:14">
      <c r="A6" s="1">
        <v>1.33</v>
      </c>
      <c r="D6" s="1">
        <v>1</v>
      </c>
      <c r="E6" s="1">
        <v>1</v>
      </c>
      <c r="F6" s="1">
        <v>8.3000000000000007</v>
      </c>
      <c r="G6" s="1">
        <v>1.23</v>
      </c>
      <c r="H6" s="1">
        <f t="shared" si="0"/>
        <v>6.15</v>
      </c>
      <c r="I6" s="1">
        <f t="shared" si="1"/>
        <v>0.74096385542168675</v>
      </c>
      <c r="J6" s="1">
        <v>5.5</v>
      </c>
      <c r="K6" s="1">
        <v>2</v>
      </c>
      <c r="M6" s="1">
        <v>11.26</v>
      </c>
      <c r="N6" s="1">
        <f t="shared" si="2"/>
        <v>0.13914977755808206</v>
      </c>
    </row>
    <row r="7" spans="1:14">
      <c r="A7" s="1">
        <v>1.76</v>
      </c>
      <c r="D7" s="1">
        <v>1</v>
      </c>
      <c r="E7" s="1">
        <v>1</v>
      </c>
      <c r="F7" s="1">
        <v>8.3000000000000007</v>
      </c>
      <c r="G7" s="1">
        <v>1.08</v>
      </c>
      <c r="H7" s="1">
        <f t="shared" si="0"/>
        <v>5.4</v>
      </c>
      <c r="I7" s="1">
        <f t="shared" si="1"/>
        <v>0.6506024096385542</v>
      </c>
      <c r="J7" s="1">
        <v>5.5</v>
      </c>
      <c r="K7" s="1">
        <v>2</v>
      </c>
      <c r="M7" s="1">
        <v>3.16</v>
      </c>
      <c r="N7" s="1">
        <f t="shared" si="2"/>
        <v>3.9050914483440433E-2</v>
      </c>
    </row>
    <row r="8" spans="1:14">
      <c r="A8" s="1">
        <v>2</v>
      </c>
      <c r="D8" s="1">
        <v>1</v>
      </c>
      <c r="E8" s="1">
        <v>1</v>
      </c>
      <c r="F8" s="1">
        <v>8.3000000000000007</v>
      </c>
      <c r="G8" s="1">
        <v>1</v>
      </c>
      <c r="H8" s="1">
        <f t="shared" si="0"/>
        <v>5</v>
      </c>
      <c r="I8" s="1">
        <f t="shared" si="1"/>
        <v>0.60240963855421681</v>
      </c>
      <c r="J8" s="1">
        <v>5.5</v>
      </c>
      <c r="K8" s="1">
        <v>2</v>
      </c>
      <c r="M8" s="1">
        <v>3.0550000000000002</v>
      </c>
      <c r="N8" s="1">
        <f t="shared" si="2"/>
        <v>3.7753336628769153E-2</v>
      </c>
    </row>
    <row r="9" spans="1:14">
      <c r="A9" s="1">
        <v>4</v>
      </c>
      <c r="D9" s="1">
        <v>1</v>
      </c>
      <c r="E9" s="1">
        <v>1</v>
      </c>
      <c r="F9" s="1">
        <v>8.3000000000000007</v>
      </c>
      <c r="G9" s="1">
        <v>0.52</v>
      </c>
      <c r="H9" s="1">
        <f t="shared" si="0"/>
        <v>2.6</v>
      </c>
      <c r="I9" s="1">
        <f t="shared" si="1"/>
        <v>0.31325301204819278</v>
      </c>
      <c r="J9" s="1">
        <v>5.5</v>
      </c>
      <c r="K9" s="1">
        <v>2</v>
      </c>
      <c r="M9" s="1">
        <v>0</v>
      </c>
      <c r="N9" s="1">
        <f t="shared" si="2"/>
        <v>0</v>
      </c>
    </row>
    <row r="10" spans="1:14">
      <c r="A10" s="1">
        <v>6</v>
      </c>
      <c r="D10" s="1">
        <v>1</v>
      </c>
      <c r="E10" s="1">
        <v>1</v>
      </c>
      <c r="F10" s="1">
        <v>8.3000000000000007</v>
      </c>
      <c r="G10" s="1">
        <v>0.26</v>
      </c>
      <c r="H10" s="1">
        <f t="shared" si="0"/>
        <v>1.3</v>
      </c>
      <c r="I10" s="1">
        <f t="shared" si="1"/>
        <v>0.15662650602409639</v>
      </c>
      <c r="J10" s="1">
        <v>5.5</v>
      </c>
      <c r="K10" s="1">
        <v>2</v>
      </c>
      <c r="M10" s="1">
        <v>0</v>
      </c>
      <c r="N10" s="1">
        <f t="shared" si="2"/>
        <v>0</v>
      </c>
    </row>
    <row r="11" spans="1:14">
      <c r="A11" s="1">
        <v>8</v>
      </c>
      <c r="D11" s="1">
        <v>1</v>
      </c>
      <c r="E11" s="1">
        <v>1</v>
      </c>
      <c r="F11" s="1">
        <v>8.3000000000000007</v>
      </c>
      <c r="G11" s="1">
        <v>0.13</v>
      </c>
      <c r="H11" s="1">
        <f t="shared" si="0"/>
        <v>0.65</v>
      </c>
      <c r="I11" s="1">
        <f t="shared" si="1"/>
        <v>7.8313253012048195E-2</v>
      </c>
      <c r="J11" s="1">
        <v>5.5</v>
      </c>
      <c r="K11" s="1">
        <v>2</v>
      </c>
      <c r="M11" s="1">
        <v>0</v>
      </c>
      <c r="N11" s="1">
        <f t="shared" si="2"/>
        <v>0</v>
      </c>
    </row>
    <row r="12" spans="1:14">
      <c r="A12" s="1">
        <v>10</v>
      </c>
      <c r="D12" s="1">
        <v>1</v>
      </c>
      <c r="E12" s="1">
        <v>1</v>
      </c>
      <c r="F12" s="1">
        <v>8.3000000000000007</v>
      </c>
      <c r="G12" s="1">
        <v>0.05</v>
      </c>
      <c r="H12" s="1">
        <f t="shared" si="0"/>
        <v>0.25</v>
      </c>
      <c r="I12" s="1">
        <f t="shared" si="1"/>
        <v>3.012048192771084E-2</v>
      </c>
      <c r="J12" s="1">
        <v>5.5</v>
      </c>
      <c r="K12" s="1">
        <v>2</v>
      </c>
      <c r="M12" s="1">
        <v>0</v>
      </c>
      <c r="N12" s="1">
        <f t="shared" si="2"/>
        <v>0</v>
      </c>
    </row>
    <row r="13" spans="1:14">
      <c r="A13" s="1">
        <v>0</v>
      </c>
      <c r="D13" s="1">
        <v>2</v>
      </c>
      <c r="E13" s="1">
        <v>1</v>
      </c>
      <c r="F13" s="1">
        <v>8.3000000000000007</v>
      </c>
      <c r="G13" s="1">
        <v>1.66</v>
      </c>
      <c r="H13" s="1">
        <f t="shared" si="0"/>
        <v>8.2999999999999989</v>
      </c>
      <c r="I13" s="1">
        <f t="shared" si="1"/>
        <v>0.99999999999999978</v>
      </c>
      <c r="J13" s="1">
        <v>5.5</v>
      </c>
      <c r="K13" s="1">
        <v>2</v>
      </c>
      <c r="L13" s="1">
        <v>80.489999999999995</v>
      </c>
      <c r="M13" s="1">
        <v>80.92</v>
      </c>
      <c r="N13" s="1">
        <f t="shared" ref="N13:N23" si="3">M13/$L$13</f>
        <v>1.0053422785439186</v>
      </c>
    </row>
    <row r="14" spans="1:14">
      <c r="A14" s="1">
        <v>0.43</v>
      </c>
      <c r="D14" s="1">
        <v>2</v>
      </c>
      <c r="E14" s="1">
        <v>1</v>
      </c>
      <c r="F14" s="1">
        <v>8.3000000000000007</v>
      </c>
      <c r="G14" s="1">
        <v>1.58</v>
      </c>
      <c r="H14" s="1">
        <f t="shared" si="0"/>
        <v>7.9</v>
      </c>
      <c r="I14" s="1">
        <f t="shared" si="1"/>
        <v>0.95180722891566261</v>
      </c>
      <c r="J14" s="1">
        <v>5.5</v>
      </c>
      <c r="K14" s="1">
        <v>2</v>
      </c>
      <c r="M14" s="1">
        <v>49.43</v>
      </c>
      <c r="N14" s="1">
        <f t="shared" si="3"/>
        <v>0.61411355447881733</v>
      </c>
    </row>
    <row r="15" spans="1:14">
      <c r="A15" s="1">
        <v>0.66</v>
      </c>
      <c r="D15" s="1">
        <v>2</v>
      </c>
      <c r="E15" s="1">
        <v>1</v>
      </c>
      <c r="F15" s="1">
        <v>8.3000000000000007</v>
      </c>
      <c r="G15" s="1">
        <v>1.46</v>
      </c>
      <c r="H15" s="1">
        <f t="shared" si="0"/>
        <v>7.3</v>
      </c>
      <c r="I15" s="1">
        <f t="shared" si="1"/>
        <v>0.87951807228915657</v>
      </c>
      <c r="J15" s="1">
        <v>5.5</v>
      </c>
      <c r="K15" s="1">
        <v>2</v>
      </c>
      <c r="M15" s="1">
        <v>39.04</v>
      </c>
      <c r="N15" s="1">
        <f t="shared" si="3"/>
        <v>0.4850291961734377</v>
      </c>
    </row>
    <row r="16" spans="1:14">
      <c r="A16" s="1">
        <v>1</v>
      </c>
      <c r="D16" s="1">
        <v>2</v>
      </c>
      <c r="E16" s="1">
        <v>1</v>
      </c>
      <c r="F16" s="1">
        <v>8.3000000000000007</v>
      </c>
      <c r="G16" s="1">
        <v>1.33</v>
      </c>
      <c r="H16" s="1">
        <f t="shared" si="0"/>
        <v>6.65</v>
      </c>
      <c r="I16" s="1">
        <f t="shared" si="1"/>
        <v>0.8012048192771084</v>
      </c>
      <c r="J16" s="1">
        <v>5.5</v>
      </c>
      <c r="K16" s="1">
        <v>2</v>
      </c>
      <c r="M16" s="1">
        <v>25.1</v>
      </c>
      <c r="N16" s="1">
        <f t="shared" si="3"/>
        <v>0.31183998012175429</v>
      </c>
    </row>
    <row r="17" spans="1:14">
      <c r="A17" s="1">
        <v>1.33</v>
      </c>
      <c r="D17" s="1">
        <v>2</v>
      </c>
      <c r="E17" s="1">
        <v>1</v>
      </c>
      <c r="F17" s="1">
        <v>8.3000000000000007</v>
      </c>
      <c r="G17" s="1">
        <v>1.23</v>
      </c>
      <c r="H17" s="1">
        <f t="shared" si="0"/>
        <v>6.15</v>
      </c>
      <c r="I17" s="1">
        <f t="shared" si="1"/>
        <v>0.74096385542168675</v>
      </c>
      <c r="J17" s="1">
        <v>5.5</v>
      </c>
      <c r="K17" s="1">
        <v>2</v>
      </c>
      <c r="M17" s="1">
        <v>12.1</v>
      </c>
      <c r="N17" s="1">
        <f t="shared" si="3"/>
        <v>0.15032923344514848</v>
      </c>
    </row>
    <row r="18" spans="1:14">
      <c r="A18" s="1">
        <v>1.76</v>
      </c>
      <c r="D18" s="1">
        <v>2</v>
      </c>
      <c r="E18" s="1">
        <v>1</v>
      </c>
      <c r="F18" s="1">
        <v>8.3000000000000007</v>
      </c>
      <c r="G18" s="1">
        <v>1.08</v>
      </c>
      <c r="H18" s="1">
        <f t="shared" si="0"/>
        <v>5.4</v>
      </c>
      <c r="I18" s="1">
        <f t="shared" si="1"/>
        <v>0.6506024096385542</v>
      </c>
      <c r="J18" s="1">
        <v>5.5</v>
      </c>
      <c r="K18" s="1">
        <v>2</v>
      </c>
      <c r="M18" s="1">
        <v>4.5599999999999996</v>
      </c>
      <c r="N18" s="1">
        <f t="shared" si="3"/>
        <v>5.6653000372717109E-2</v>
      </c>
    </row>
    <row r="19" spans="1:14">
      <c r="A19" s="1">
        <v>2</v>
      </c>
      <c r="D19" s="1">
        <v>2</v>
      </c>
      <c r="E19" s="1">
        <v>1</v>
      </c>
      <c r="F19" s="1">
        <v>8.3000000000000007</v>
      </c>
      <c r="G19" s="1">
        <v>1</v>
      </c>
      <c r="H19" s="1">
        <f t="shared" si="0"/>
        <v>5</v>
      </c>
      <c r="I19" s="1">
        <f t="shared" si="1"/>
        <v>0.60240963855421681</v>
      </c>
      <c r="J19" s="1">
        <v>5.5</v>
      </c>
      <c r="K19" s="1">
        <v>2</v>
      </c>
      <c r="M19" s="1">
        <v>3.15</v>
      </c>
      <c r="N19" s="1">
        <f t="shared" si="3"/>
        <v>3.9135296310100633E-2</v>
      </c>
    </row>
    <row r="20" spans="1:14">
      <c r="A20" s="1">
        <v>4</v>
      </c>
      <c r="D20" s="1">
        <v>2</v>
      </c>
      <c r="E20" s="1">
        <v>1</v>
      </c>
      <c r="F20" s="1">
        <v>8.3000000000000007</v>
      </c>
      <c r="G20" s="1">
        <v>0.52</v>
      </c>
      <c r="H20" s="1">
        <f t="shared" si="0"/>
        <v>2.6</v>
      </c>
      <c r="I20" s="1">
        <f t="shared" si="1"/>
        <v>0.31325301204819278</v>
      </c>
      <c r="J20" s="1">
        <v>5.5</v>
      </c>
      <c r="K20" s="1">
        <v>2</v>
      </c>
      <c r="M20" s="1">
        <v>0</v>
      </c>
      <c r="N20" s="1">
        <f t="shared" si="3"/>
        <v>0</v>
      </c>
    </row>
    <row r="21" spans="1:14" ht="15.75" customHeight="1">
      <c r="A21" s="1">
        <v>6</v>
      </c>
      <c r="D21" s="1">
        <v>2</v>
      </c>
      <c r="E21" s="1">
        <v>1</v>
      </c>
      <c r="F21" s="1">
        <v>8.3000000000000007</v>
      </c>
      <c r="G21" s="1">
        <v>0.26</v>
      </c>
      <c r="H21" s="1">
        <f t="shared" si="0"/>
        <v>1.3</v>
      </c>
      <c r="I21" s="1">
        <f t="shared" si="1"/>
        <v>0.15662650602409639</v>
      </c>
      <c r="J21" s="1">
        <v>5.5</v>
      </c>
      <c r="K21" s="1">
        <v>2</v>
      </c>
      <c r="M21" s="1">
        <v>0</v>
      </c>
      <c r="N21" s="1">
        <f t="shared" si="3"/>
        <v>0</v>
      </c>
    </row>
    <row r="22" spans="1:14" ht="15.75" customHeight="1">
      <c r="A22" s="1">
        <v>8</v>
      </c>
      <c r="D22" s="1">
        <v>2</v>
      </c>
      <c r="E22" s="1">
        <v>1</v>
      </c>
      <c r="F22" s="1">
        <v>8.3000000000000007</v>
      </c>
      <c r="G22" s="1">
        <v>0.13</v>
      </c>
      <c r="H22" s="1">
        <f t="shared" si="0"/>
        <v>0.65</v>
      </c>
      <c r="I22" s="1">
        <f t="shared" si="1"/>
        <v>7.8313253012048195E-2</v>
      </c>
      <c r="J22" s="1">
        <v>5.5</v>
      </c>
      <c r="K22" s="1">
        <v>2</v>
      </c>
      <c r="M22" s="1">
        <v>0</v>
      </c>
      <c r="N22" s="1">
        <f t="shared" si="3"/>
        <v>0</v>
      </c>
    </row>
    <row r="23" spans="1:14" ht="15.75" customHeight="1">
      <c r="A23" s="1">
        <v>10</v>
      </c>
      <c r="D23" s="1">
        <v>2</v>
      </c>
      <c r="E23" s="1">
        <v>1</v>
      </c>
      <c r="F23" s="1">
        <v>8.3000000000000007</v>
      </c>
      <c r="G23" s="1">
        <v>0.05</v>
      </c>
      <c r="H23" s="1">
        <f t="shared" si="0"/>
        <v>0.25</v>
      </c>
      <c r="I23" s="1">
        <f t="shared" si="1"/>
        <v>3.012048192771084E-2</v>
      </c>
      <c r="J23" s="1">
        <v>5.5</v>
      </c>
      <c r="K23" s="1">
        <v>2</v>
      </c>
      <c r="M23" s="1">
        <v>0</v>
      </c>
      <c r="N23" s="1">
        <f t="shared" si="3"/>
        <v>0</v>
      </c>
    </row>
    <row r="24" spans="1:14" ht="15.75" customHeight="1"/>
    <row r="25" spans="1:14" ht="15.75" customHeight="1"/>
    <row r="26" spans="1:14" ht="15.75" customHeight="1"/>
    <row r="27" spans="1:14" ht="15.75" customHeight="1"/>
    <row r="28" spans="1:14" ht="15.75" customHeight="1"/>
    <row r="29" spans="1:14" ht="15.75" customHeight="1"/>
    <row r="30" spans="1:14" ht="15.75" customHeight="1"/>
    <row r="31" spans="1:14" ht="15.75" customHeight="1"/>
    <row r="32" spans="1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1000"/>
  <sheetViews>
    <sheetView workbookViewId="0"/>
  </sheetViews>
  <sheetFormatPr baseColWidth="10" defaultColWidth="14.42578125" defaultRowHeight="15" customHeight="1"/>
  <cols>
    <col min="1" max="1" width="8.7109375" customWidth="1"/>
    <col min="2" max="2" width="13.85546875" customWidth="1"/>
    <col min="3" max="3" width="20.5703125" customWidth="1"/>
    <col min="4" max="4" width="16.28515625" customWidth="1"/>
    <col min="5" max="5" width="8.7109375" customWidth="1"/>
    <col min="6" max="6" width="13.85546875" customWidth="1"/>
    <col min="7" max="7" width="26.28515625" customWidth="1"/>
    <col min="8" max="9" width="16.5703125" customWidth="1"/>
    <col min="10" max="10" width="8.7109375" customWidth="1"/>
    <col min="11" max="11" width="15" customWidth="1"/>
    <col min="12" max="12" width="15.140625" customWidth="1"/>
    <col min="13" max="13" width="22.42578125" customWidth="1"/>
    <col min="14" max="14" width="14.85546875" customWidth="1"/>
    <col min="15" max="26" width="8.7109375" customWidth="1"/>
  </cols>
  <sheetData>
    <row r="1" spans="1:14">
      <c r="A1" s="1" t="s">
        <v>0</v>
      </c>
      <c r="B1" s="1" t="s">
        <v>14</v>
      </c>
      <c r="C1" s="1" t="s">
        <v>16</v>
      </c>
      <c r="D1" s="1" t="s">
        <v>17</v>
      </c>
      <c r="E1" s="1" t="s">
        <v>10</v>
      </c>
      <c r="F1" s="1" t="s">
        <v>2</v>
      </c>
      <c r="G1" s="1" t="s">
        <v>19</v>
      </c>
      <c r="H1" s="1" t="s">
        <v>7</v>
      </c>
      <c r="I1" s="1" t="s">
        <v>15</v>
      </c>
      <c r="J1" s="1" t="s">
        <v>3</v>
      </c>
      <c r="K1" s="1" t="s">
        <v>4</v>
      </c>
      <c r="L1" s="1" t="s">
        <v>20</v>
      </c>
      <c r="M1" s="1" t="s">
        <v>8</v>
      </c>
      <c r="N1" s="1" t="s">
        <v>9</v>
      </c>
    </row>
    <row r="2" spans="1:14">
      <c r="A2" s="1">
        <v>0</v>
      </c>
      <c r="C2" s="1">
        <v>1</v>
      </c>
      <c r="D2" s="1">
        <v>1</v>
      </c>
      <c r="E2" s="1">
        <v>1</v>
      </c>
      <c r="F2" s="1">
        <v>8.4499999999999993</v>
      </c>
      <c r="G2" s="1">
        <v>1.69</v>
      </c>
      <c r="H2" s="1">
        <f t="shared" ref="H2:H6" si="0">G2*5</f>
        <v>8.4499999999999993</v>
      </c>
      <c r="I2" s="1">
        <f t="shared" ref="I2:I6" si="1">H2/F2</f>
        <v>1</v>
      </c>
      <c r="J2" s="1">
        <v>5.5</v>
      </c>
      <c r="K2" s="1">
        <v>2</v>
      </c>
      <c r="M2" s="1">
        <v>39.11</v>
      </c>
      <c r="N2" s="1">
        <f t="shared" ref="N2:N6" si="2">M2/$M$2</f>
        <v>1</v>
      </c>
    </row>
    <row r="3" spans="1:14">
      <c r="A3" s="1">
        <v>5</v>
      </c>
      <c r="C3" s="1">
        <v>1</v>
      </c>
      <c r="D3" s="1">
        <v>1</v>
      </c>
      <c r="E3" s="1">
        <v>1</v>
      </c>
      <c r="F3" s="1">
        <v>8.4499999999999993</v>
      </c>
      <c r="G3" s="1">
        <v>1.63</v>
      </c>
      <c r="H3" s="1">
        <f t="shared" si="0"/>
        <v>8.1499999999999986</v>
      </c>
      <c r="I3" s="1">
        <f t="shared" si="1"/>
        <v>0.96449704142011827</v>
      </c>
      <c r="J3" s="1">
        <v>5.5</v>
      </c>
      <c r="K3" s="1">
        <v>2</v>
      </c>
      <c r="M3" s="1">
        <v>39.119999999999997</v>
      </c>
      <c r="N3" s="1">
        <f t="shared" si="2"/>
        <v>1.0002556890820762</v>
      </c>
    </row>
    <row r="4" spans="1:14">
      <c r="A4" s="1">
        <v>10</v>
      </c>
      <c r="C4" s="1">
        <v>1</v>
      </c>
      <c r="D4" s="1">
        <v>1</v>
      </c>
      <c r="E4" s="1">
        <v>1</v>
      </c>
      <c r="F4" s="1">
        <v>8.4499999999999993</v>
      </c>
      <c r="G4" s="1">
        <v>1.5</v>
      </c>
      <c r="H4" s="1">
        <f t="shared" si="0"/>
        <v>7.5</v>
      </c>
      <c r="I4" s="1">
        <f t="shared" si="1"/>
        <v>0.88757396449704151</v>
      </c>
      <c r="J4" s="1">
        <v>5.5</v>
      </c>
      <c r="K4" s="1">
        <v>2</v>
      </c>
      <c r="M4" s="1">
        <v>30.83</v>
      </c>
      <c r="N4" s="1">
        <f t="shared" si="2"/>
        <v>0.78828944004091017</v>
      </c>
    </row>
    <row r="5" spans="1:14">
      <c r="A5" s="1">
        <v>20</v>
      </c>
      <c r="C5" s="1">
        <v>1</v>
      </c>
      <c r="D5" s="1">
        <v>1</v>
      </c>
      <c r="E5" s="1">
        <v>1</v>
      </c>
      <c r="F5" s="1">
        <v>8.4499999999999993</v>
      </c>
      <c r="G5" s="1">
        <v>1.39</v>
      </c>
      <c r="H5" s="1">
        <f t="shared" si="0"/>
        <v>6.9499999999999993</v>
      </c>
      <c r="I5" s="1">
        <f t="shared" si="1"/>
        <v>0.8224852071005917</v>
      </c>
      <c r="J5" s="1">
        <v>5.5</v>
      </c>
      <c r="K5" s="1">
        <v>2</v>
      </c>
      <c r="M5" s="1">
        <v>23.24</v>
      </c>
      <c r="N5" s="1">
        <f t="shared" si="2"/>
        <v>0.59422142674507794</v>
      </c>
    </row>
    <row r="6" spans="1:14">
      <c r="A6" s="1">
        <v>30</v>
      </c>
      <c r="C6" s="1">
        <v>1</v>
      </c>
      <c r="D6" s="1">
        <v>1</v>
      </c>
      <c r="E6" s="1">
        <v>1</v>
      </c>
      <c r="F6" s="1">
        <v>8.4499999999999993</v>
      </c>
      <c r="G6" s="1">
        <v>1.22</v>
      </c>
      <c r="H6" s="1">
        <f t="shared" si="0"/>
        <v>6.1</v>
      </c>
      <c r="I6" s="1">
        <f t="shared" si="1"/>
        <v>0.72189349112426038</v>
      </c>
      <c r="J6" s="1">
        <v>5.5</v>
      </c>
      <c r="K6" s="1">
        <v>2</v>
      </c>
      <c r="M6" s="1">
        <v>11.66</v>
      </c>
      <c r="N6" s="1">
        <f t="shared" si="2"/>
        <v>0.29813346970084376</v>
      </c>
    </row>
    <row r="7" spans="1:14">
      <c r="A7" s="1">
        <v>0</v>
      </c>
      <c r="C7" s="1">
        <v>1</v>
      </c>
      <c r="D7" s="1">
        <v>2</v>
      </c>
      <c r="E7" s="1">
        <v>1</v>
      </c>
      <c r="F7" s="1">
        <v>8.4499999999999993</v>
      </c>
      <c r="J7" s="1">
        <v>5.5</v>
      </c>
      <c r="K7" s="1">
        <v>2</v>
      </c>
      <c r="M7" s="1">
        <v>38.22</v>
      </c>
      <c r="N7" s="1">
        <f t="shared" ref="N7:N11" si="3">M7/$M$7</f>
        <v>1</v>
      </c>
    </row>
    <row r="8" spans="1:14">
      <c r="A8" s="1">
        <v>5</v>
      </c>
      <c r="C8" s="1">
        <v>1</v>
      </c>
      <c r="D8" s="1">
        <v>2</v>
      </c>
      <c r="E8" s="1">
        <v>1</v>
      </c>
      <c r="F8" s="1">
        <v>8.4499999999999993</v>
      </c>
      <c r="J8" s="1">
        <v>5.5</v>
      </c>
      <c r="K8" s="1">
        <v>2</v>
      </c>
      <c r="M8" s="1">
        <v>41.36</v>
      </c>
      <c r="N8" s="1">
        <f t="shared" si="3"/>
        <v>1.0821559392987965</v>
      </c>
    </row>
    <row r="9" spans="1:14">
      <c r="A9" s="1">
        <v>10</v>
      </c>
      <c r="C9" s="1">
        <v>1</v>
      </c>
      <c r="D9" s="1">
        <v>2</v>
      </c>
      <c r="E9" s="1">
        <v>1</v>
      </c>
      <c r="F9" s="1">
        <v>8.4499999999999993</v>
      </c>
      <c r="J9" s="1">
        <v>5.5</v>
      </c>
      <c r="K9" s="1">
        <v>2</v>
      </c>
      <c r="M9" s="1">
        <v>31.78</v>
      </c>
      <c r="N9" s="1">
        <f t="shared" si="3"/>
        <v>0.83150183150183155</v>
      </c>
    </row>
    <row r="10" spans="1:14">
      <c r="A10" s="1">
        <v>20</v>
      </c>
      <c r="C10" s="1">
        <v>1</v>
      </c>
      <c r="D10" s="1">
        <v>2</v>
      </c>
      <c r="E10" s="1">
        <v>1</v>
      </c>
      <c r="F10" s="1">
        <v>8.4499999999999993</v>
      </c>
      <c r="J10" s="1">
        <v>5.5</v>
      </c>
      <c r="K10" s="1">
        <v>2</v>
      </c>
      <c r="M10" s="1">
        <v>22.88</v>
      </c>
      <c r="N10" s="1">
        <f t="shared" si="3"/>
        <v>0.59863945578231292</v>
      </c>
    </row>
    <row r="11" spans="1:14">
      <c r="A11" s="1">
        <v>30</v>
      </c>
      <c r="C11" s="1">
        <v>1</v>
      </c>
      <c r="D11" s="1">
        <v>2</v>
      </c>
      <c r="E11" s="1">
        <v>1</v>
      </c>
      <c r="F11" s="1">
        <v>8.4499999999999993</v>
      </c>
      <c r="J11" s="1">
        <v>5.5</v>
      </c>
      <c r="K11" s="1">
        <v>2</v>
      </c>
      <c r="M11" s="1">
        <v>9.07</v>
      </c>
      <c r="N11" s="1">
        <f t="shared" si="3"/>
        <v>0.23731030873888018</v>
      </c>
    </row>
    <row r="12" spans="1:14">
      <c r="A12" s="1">
        <v>0</v>
      </c>
      <c r="C12" s="1">
        <v>1</v>
      </c>
      <c r="D12" s="1">
        <v>1</v>
      </c>
      <c r="E12" s="1">
        <v>1</v>
      </c>
      <c r="F12" s="1">
        <v>8.1999999999999993</v>
      </c>
      <c r="G12" s="1">
        <v>1.64</v>
      </c>
      <c r="H12" s="1">
        <f t="shared" ref="H12:H16" si="4">G12*5</f>
        <v>8.1999999999999993</v>
      </c>
      <c r="I12" s="1">
        <f t="shared" ref="I12:I16" si="5">H12/F12</f>
        <v>1</v>
      </c>
      <c r="J12" s="1">
        <v>5.5</v>
      </c>
      <c r="K12" s="1">
        <v>2</v>
      </c>
      <c r="M12" s="1">
        <v>47.57</v>
      </c>
      <c r="N12" s="1">
        <f t="shared" ref="N12:N16" si="6">M12/$M$12</f>
        <v>1</v>
      </c>
    </row>
    <row r="13" spans="1:14">
      <c r="A13" s="1">
        <v>5</v>
      </c>
      <c r="C13" s="1">
        <v>2</v>
      </c>
      <c r="D13" s="1">
        <v>1</v>
      </c>
      <c r="E13" s="1">
        <v>1</v>
      </c>
      <c r="F13" s="1">
        <v>8.1999999999999993</v>
      </c>
      <c r="G13" s="1">
        <v>1.56</v>
      </c>
      <c r="H13" s="1">
        <f t="shared" si="4"/>
        <v>7.8000000000000007</v>
      </c>
      <c r="I13" s="1">
        <f t="shared" si="5"/>
        <v>0.95121951219512213</v>
      </c>
      <c r="J13" s="1">
        <v>5.5</v>
      </c>
      <c r="K13" s="1">
        <v>2</v>
      </c>
      <c r="M13" s="1">
        <v>41.57</v>
      </c>
      <c r="N13" s="1">
        <f t="shared" si="6"/>
        <v>0.87387008618877449</v>
      </c>
    </row>
    <row r="14" spans="1:14">
      <c r="A14" s="1">
        <v>10</v>
      </c>
      <c r="C14" s="1">
        <v>2</v>
      </c>
      <c r="D14" s="1">
        <v>1</v>
      </c>
      <c r="E14" s="1">
        <v>1</v>
      </c>
      <c r="F14" s="1">
        <v>8.1999999999999993</v>
      </c>
      <c r="G14" s="1">
        <v>1.48</v>
      </c>
      <c r="H14" s="1">
        <f t="shared" si="4"/>
        <v>7.4</v>
      </c>
      <c r="I14" s="1">
        <f t="shared" si="5"/>
        <v>0.90243902439024404</v>
      </c>
      <c r="J14" s="1">
        <v>5.5</v>
      </c>
      <c r="K14" s="1">
        <v>2</v>
      </c>
      <c r="M14" s="1">
        <v>38.68</v>
      </c>
      <c r="N14" s="1">
        <f t="shared" si="6"/>
        <v>0.81311751103636742</v>
      </c>
    </row>
    <row r="15" spans="1:14">
      <c r="A15" s="1">
        <v>20</v>
      </c>
      <c r="C15" s="1">
        <v>2</v>
      </c>
      <c r="D15" s="1">
        <v>1</v>
      </c>
      <c r="E15" s="1">
        <v>1</v>
      </c>
      <c r="F15" s="1">
        <v>8.1999999999999993</v>
      </c>
      <c r="G15" s="1">
        <v>1.43</v>
      </c>
      <c r="H15" s="1">
        <f t="shared" si="4"/>
        <v>7.1499999999999995</v>
      </c>
      <c r="I15" s="1">
        <f t="shared" si="5"/>
        <v>0.87195121951219512</v>
      </c>
      <c r="J15" s="1">
        <v>5.5</v>
      </c>
      <c r="K15" s="1">
        <v>2</v>
      </c>
      <c r="M15" s="1">
        <v>27.63</v>
      </c>
      <c r="N15" s="1">
        <f t="shared" si="6"/>
        <v>0.58082825310069364</v>
      </c>
    </row>
    <row r="16" spans="1:14">
      <c r="A16" s="1">
        <v>30</v>
      </c>
      <c r="C16" s="1">
        <v>2</v>
      </c>
      <c r="D16" s="1">
        <v>1</v>
      </c>
      <c r="E16" s="1">
        <v>1</v>
      </c>
      <c r="F16" s="1">
        <v>8.1999999999999993</v>
      </c>
      <c r="G16" s="1">
        <v>1.23</v>
      </c>
      <c r="H16" s="1">
        <f t="shared" si="4"/>
        <v>6.15</v>
      </c>
      <c r="I16" s="1">
        <f t="shared" si="5"/>
        <v>0.75000000000000011</v>
      </c>
      <c r="J16" s="1">
        <v>5.5</v>
      </c>
      <c r="K16" s="1">
        <v>2</v>
      </c>
      <c r="M16" s="1">
        <v>23.36</v>
      </c>
      <c r="N16" s="1">
        <f t="shared" si="6"/>
        <v>0.49106579777170484</v>
      </c>
    </row>
    <row r="17" spans="1:14">
      <c r="A17" s="1">
        <v>0</v>
      </c>
      <c r="C17" s="1">
        <v>2</v>
      </c>
      <c r="D17" s="1">
        <v>2</v>
      </c>
      <c r="E17" s="1">
        <v>1</v>
      </c>
      <c r="F17" s="1">
        <v>8.1999999999999993</v>
      </c>
      <c r="J17" s="1">
        <v>5.5</v>
      </c>
      <c r="K17" s="1">
        <v>2</v>
      </c>
      <c r="M17" s="1">
        <v>55.68</v>
      </c>
      <c r="N17" s="1">
        <f t="shared" ref="N17:N21" si="7">M17/$M$17</f>
        <v>1</v>
      </c>
    </row>
    <row r="18" spans="1:14">
      <c r="A18" s="1">
        <v>5</v>
      </c>
      <c r="C18" s="1">
        <v>2</v>
      </c>
      <c r="D18" s="1">
        <v>2</v>
      </c>
      <c r="E18" s="1">
        <v>1</v>
      </c>
      <c r="F18" s="1">
        <v>8.1999999999999993</v>
      </c>
      <c r="J18" s="1">
        <v>5.5</v>
      </c>
      <c r="K18" s="1">
        <v>2</v>
      </c>
      <c r="M18" s="1">
        <v>48.18</v>
      </c>
      <c r="N18" s="1">
        <f t="shared" si="7"/>
        <v>0.86530172413793105</v>
      </c>
    </row>
    <row r="19" spans="1:14">
      <c r="A19" s="1">
        <v>10</v>
      </c>
      <c r="C19" s="1">
        <v>2</v>
      </c>
      <c r="D19" s="1">
        <v>2</v>
      </c>
      <c r="E19" s="1">
        <v>1</v>
      </c>
      <c r="F19" s="1">
        <v>8.1999999999999993</v>
      </c>
      <c r="J19" s="1">
        <v>5.5</v>
      </c>
      <c r="K19" s="1">
        <v>2</v>
      </c>
      <c r="M19" s="1">
        <v>41.43</v>
      </c>
      <c r="N19" s="1">
        <f t="shared" si="7"/>
        <v>0.74407327586206895</v>
      </c>
    </row>
    <row r="20" spans="1:14">
      <c r="A20" s="1">
        <v>20</v>
      </c>
      <c r="C20" s="1">
        <v>2</v>
      </c>
      <c r="D20" s="1">
        <v>2</v>
      </c>
      <c r="E20" s="1">
        <v>1</v>
      </c>
      <c r="F20" s="1">
        <v>8.1999999999999993</v>
      </c>
      <c r="J20" s="1">
        <v>5.5</v>
      </c>
      <c r="K20" s="1">
        <v>2</v>
      </c>
      <c r="M20" s="1">
        <v>27.85</v>
      </c>
      <c r="N20" s="1">
        <f t="shared" si="7"/>
        <v>0.5001795977011495</v>
      </c>
    </row>
    <row r="21" spans="1:14" ht="15.75" customHeight="1">
      <c r="A21" s="1">
        <v>30</v>
      </c>
      <c r="C21" s="1">
        <v>2</v>
      </c>
      <c r="D21" s="1">
        <v>2</v>
      </c>
      <c r="E21" s="1">
        <v>1</v>
      </c>
      <c r="F21" s="1">
        <v>8.1999999999999993</v>
      </c>
      <c r="J21" s="1">
        <v>5.5</v>
      </c>
      <c r="K21" s="1">
        <v>2</v>
      </c>
      <c r="M21" s="1">
        <v>23.19</v>
      </c>
      <c r="N21" s="1">
        <f t="shared" si="7"/>
        <v>0.41648706896551729</v>
      </c>
    </row>
    <row r="22" spans="1:14" ht="15.75" customHeight="1"/>
    <row r="23" spans="1:14" ht="15.75" customHeight="1"/>
    <row r="24" spans="1:14" ht="15.75" customHeight="1"/>
    <row r="25" spans="1:14" ht="15.75" customHeight="1"/>
    <row r="26" spans="1:14" ht="15.75" customHeight="1"/>
    <row r="27" spans="1:14" ht="15.75" customHeight="1"/>
    <row r="28" spans="1:14" ht="15.75" customHeight="1"/>
    <row r="29" spans="1:14" ht="15.75" customHeight="1"/>
    <row r="30" spans="1:14" ht="15.75" customHeight="1"/>
    <row r="31" spans="1:14" ht="15.75" customHeight="1"/>
    <row r="32" spans="1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000"/>
  <sheetViews>
    <sheetView workbookViewId="0"/>
  </sheetViews>
  <sheetFormatPr baseColWidth="10" defaultColWidth="14.42578125" defaultRowHeight="15" customHeight="1"/>
  <cols>
    <col min="1" max="1" width="8.7109375" customWidth="1"/>
    <col min="2" max="2" width="13.85546875" customWidth="1"/>
    <col min="3" max="3" width="20.5703125" customWidth="1"/>
    <col min="4" max="5" width="8.7109375" customWidth="1"/>
    <col min="6" max="6" width="13.85546875" customWidth="1"/>
    <col min="7" max="7" width="26.28515625" customWidth="1"/>
    <col min="8" max="9" width="16.5703125" customWidth="1"/>
    <col min="10" max="10" width="8.7109375" customWidth="1"/>
    <col min="11" max="11" width="15" customWidth="1"/>
    <col min="12" max="12" width="15.140625" customWidth="1"/>
    <col min="13" max="13" width="20.7109375" customWidth="1"/>
    <col min="14" max="14" width="14.85546875" customWidth="1"/>
    <col min="15" max="26" width="8.7109375" customWidth="1"/>
  </cols>
  <sheetData>
    <row r="1" spans="1:14">
      <c r="A1" s="1" t="s">
        <v>0</v>
      </c>
      <c r="B1" s="1" t="s">
        <v>14</v>
      </c>
      <c r="C1" s="1" t="s">
        <v>16</v>
      </c>
      <c r="D1" s="1" t="s">
        <v>17</v>
      </c>
      <c r="E1" s="1" t="s">
        <v>10</v>
      </c>
      <c r="F1" s="1" t="s">
        <v>2</v>
      </c>
      <c r="G1" s="1" t="s">
        <v>19</v>
      </c>
      <c r="H1" s="1" t="s">
        <v>7</v>
      </c>
      <c r="I1" s="1" t="s">
        <v>15</v>
      </c>
      <c r="J1" s="1" t="s">
        <v>3</v>
      </c>
      <c r="K1" s="1" t="s">
        <v>4</v>
      </c>
      <c r="L1" s="1" t="s">
        <v>18</v>
      </c>
      <c r="M1" s="1" t="s">
        <v>8</v>
      </c>
      <c r="N1" s="1" t="s">
        <v>9</v>
      </c>
    </row>
    <row r="2" spans="1:14">
      <c r="A2" s="1">
        <v>0</v>
      </c>
      <c r="C2" s="1">
        <v>1</v>
      </c>
      <c r="D2" s="1">
        <v>1</v>
      </c>
      <c r="E2" s="1">
        <v>1</v>
      </c>
      <c r="F2" s="1">
        <v>8.25</v>
      </c>
      <c r="G2" s="1">
        <v>1.65</v>
      </c>
      <c r="H2" s="1">
        <f t="shared" ref="H2:H8" si="0">G2*5</f>
        <v>8.25</v>
      </c>
      <c r="I2" s="1">
        <f t="shared" ref="I2:I8" si="1">H2/F2</f>
        <v>1</v>
      </c>
      <c r="J2" s="1">
        <v>5.5</v>
      </c>
      <c r="K2" s="1">
        <v>2</v>
      </c>
      <c r="M2" s="1">
        <v>36.61</v>
      </c>
      <c r="N2" s="1">
        <f t="shared" ref="N2:N8" si="2">M2/$M$2</f>
        <v>1</v>
      </c>
    </row>
    <row r="3" spans="1:14">
      <c r="A3" s="1">
        <v>0.43</v>
      </c>
      <c r="C3" s="1">
        <v>1</v>
      </c>
      <c r="D3" s="1">
        <v>1</v>
      </c>
      <c r="E3" s="1">
        <v>1</v>
      </c>
      <c r="F3" s="1">
        <v>8.25</v>
      </c>
      <c r="G3" s="1">
        <v>1.48</v>
      </c>
      <c r="H3" s="1">
        <f t="shared" si="0"/>
        <v>7.4</v>
      </c>
      <c r="I3" s="1">
        <f t="shared" si="1"/>
        <v>0.89696969696969697</v>
      </c>
      <c r="J3" s="1">
        <v>5.5</v>
      </c>
      <c r="K3" s="1">
        <v>2</v>
      </c>
      <c r="M3" s="1">
        <v>32.36</v>
      </c>
      <c r="N3" s="1">
        <f t="shared" si="2"/>
        <v>0.88391149959027593</v>
      </c>
    </row>
    <row r="4" spans="1:14">
      <c r="A4" s="1">
        <v>0.66</v>
      </c>
      <c r="C4" s="1">
        <v>1</v>
      </c>
      <c r="D4" s="1">
        <v>1</v>
      </c>
      <c r="E4" s="1">
        <v>1</v>
      </c>
      <c r="F4" s="1">
        <v>8.25</v>
      </c>
      <c r="G4" s="1">
        <v>1.33</v>
      </c>
      <c r="H4" s="1">
        <f t="shared" si="0"/>
        <v>6.65</v>
      </c>
      <c r="I4" s="1">
        <f t="shared" si="1"/>
        <v>0.80606060606060614</v>
      </c>
      <c r="J4" s="1">
        <v>5.5</v>
      </c>
      <c r="K4" s="1">
        <v>2</v>
      </c>
      <c r="M4" s="1">
        <v>22.04</v>
      </c>
      <c r="N4" s="1">
        <f t="shared" si="2"/>
        <v>0.60202130565419287</v>
      </c>
    </row>
    <row r="5" spans="1:14">
      <c r="A5" s="1">
        <v>1</v>
      </c>
      <c r="C5" s="1">
        <v>1</v>
      </c>
      <c r="D5" s="1">
        <v>1</v>
      </c>
      <c r="E5" s="1">
        <v>1</v>
      </c>
      <c r="F5" s="1">
        <v>8.25</v>
      </c>
      <c r="G5" s="1">
        <v>1.27</v>
      </c>
      <c r="H5" s="1">
        <f t="shared" si="0"/>
        <v>6.35</v>
      </c>
      <c r="I5" s="1">
        <f t="shared" si="1"/>
        <v>0.76969696969696966</v>
      </c>
      <c r="J5" s="1">
        <v>5.5</v>
      </c>
      <c r="K5" s="1">
        <v>2</v>
      </c>
      <c r="M5" s="1">
        <v>12.56</v>
      </c>
      <c r="N5" s="1">
        <f t="shared" si="2"/>
        <v>0.3430756623873259</v>
      </c>
    </row>
    <row r="6" spans="1:14">
      <c r="A6" s="1">
        <v>1.33</v>
      </c>
      <c r="C6" s="1">
        <v>1</v>
      </c>
      <c r="D6" s="1">
        <v>1</v>
      </c>
      <c r="E6" s="1">
        <v>1</v>
      </c>
      <c r="F6" s="1">
        <v>8.25</v>
      </c>
      <c r="G6" s="1">
        <v>1.21</v>
      </c>
      <c r="H6" s="1">
        <f t="shared" si="0"/>
        <v>6.05</v>
      </c>
      <c r="I6" s="1">
        <f t="shared" si="1"/>
        <v>0.73333333333333328</v>
      </c>
      <c r="J6" s="1">
        <v>5.5</v>
      </c>
      <c r="K6" s="1">
        <v>2</v>
      </c>
      <c r="M6" s="1">
        <v>9.1199999999999992</v>
      </c>
      <c r="N6" s="1">
        <f t="shared" si="2"/>
        <v>0.24911226440863152</v>
      </c>
    </row>
    <row r="7" spans="1:14">
      <c r="A7" s="1">
        <v>1.76</v>
      </c>
      <c r="C7" s="1">
        <v>1</v>
      </c>
      <c r="D7" s="1">
        <v>1</v>
      </c>
      <c r="E7" s="1">
        <v>1</v>
      </c>
      <c r="F7" s="1">
        <v>8.25</v>
      </c>
      <c r="G7" s="1">
        <v>1.06</v>
      </c>
      <c r="H7" s="1">
        <f t="shared" si="0"/>
        <v>5.3000000000000007</v>
      </c>
      <c r="I7" s="1">
        <f t="shared" si="1"/>
        <v>0.64242424242424256</v>
      </c>
      <c r="J7" s="1">
        <v>5.5</v>
      </c>
      <c r="K7" s="1">
        <v>2</v>
      </c>
      <c r="M7" s="1">
        <v>4.3499999999999996</v>
      </c>
      <c r="N7" s="1">
        <f t="shared" si="2"/>
        <v>0.11881999453701174</v>
      </c>
    </row>
    <row r="8" spans="1:14">
      <c r="A8" s="1">
        <v>2</v>
      </c>
      <c r="C8" s="1">
        <v>1</v>
      </c>
      <c r="D8" s="1">
        <v>1</v>
      </c>
      <c r="E8" s="1">
        <v>1</v>
      </c>
      <c r="F8" s="1">
        <v>8.25</v>
      </c>
      <c r="G8" s="1">
        <v>0.87</v>
      </c>
      <c r="H8" s="1">
        <f t="shared" si="0"/>
        <v>4.3499999999999996</v>
      </c>
      <c r="I8" s="1">
        <f t="shared" si="1"/>
        <v>0.52727272727272723</v>
      </c>
      <c r="J8" s="1">
        <v>5.5</v>
      </c>
      <c r="K8" s="1">
        <v>2</v>
      </c>
      <c r="M8" s="1">
        <v>4.3099999999999996</v>
      </c>
      <c r="N8" s="1">
        <f t="shared" si="2"/>
        <v>0.11772739688609668</v>
      </c>
    </row>
    <row r="9" spans="1:14">
      <c r="A9" s="1">
        <v>0</v>
      </c>
      <c r="C9" s="1">
        <v>1</v>
      </c>
      <c r="D9" s="1">
        <v>2</v>
      </c>
      <c r="E9" s="1">
        <v>1</v>
      </c>
      <c r="F9" s="1">
        <v>8.25</v>
      </c>
      <c r="J9" s="1">
        <v>5.5</v>
      </c>
      <c r="K9" s="1">
        <v>2</v>
      </c>
      <c r="M9" s="1">
        <v>34.44</v>
      </c>
      <c r="N9" s="1">
        <f t="shared" ref="N9:N15" si="3">M9/$M$9</f>
        <v>1</v>
      </c>
    </row>
    <row r="10" spans="1:14">
      <c r="A10" s="1">
        <v>0.43</v>
      </c>
      <c r="C10" s="1">
        <v>1</v>
      </c>
      <c r="D10" s="1">
        <v>2</v>
      </c>
      <c r="E10" s="1">
        <v>1</v>
      </c>
      <c r="F10" s="1">
        <v>8.25</v>
      </c>
      <c r="J10" s="1">
        <v>5.5</v>
      </c>
      <c r="K10" s="1">
        <v>2</v>
      </c>
      <c r="M10" s="1">
        <v>32.56</v>
      </c>
      <c r="N10" s="1">
        <f t="shared" si="3"/>
        <v>0.94541231126596992</v>
      </c>
    </row>
    <row r="11" spans="1:14">
      <c r="A11" s="1">
        <v>0.66</v>
      </c>
      <c r="C11" s="1">
        <v>1</v>
      </c>
      <c r="D11" s="1">
        <v>2</v>
      </c>
      <c r="E11" s="1">
        <v>1</v>
      </c>
      <c r="F11" s="1">
        <v>8.25</v>
      </c>
      <c r="J11" s="1">
        <v>5.5</v>
      </c>
      <c r="K11" s="1">
        <v>2</v>
      </c>
      <c r="M11" s="1">
        <v>21.73</v>
      </c>
      <c r="N11" s="1">
        <f t="shared" si="3"/>
        <v>0.63095238095238104</v>
      </c>
    </row>
    <row r="12" spans="1:14">
      <c r="A12" s="1">
        <v>1</v>
      </c>
      <c r="C12" s="1">
        <v>1</v>
      </c>
      <c r="D12" s="1">
        <v>2</v>
      </c>
      <c r="E12" s="1">
        <v>1</v>
      </c>
      <c r="F12" s="1">
        <v>8.25</v>
      </c>
      <c r="J12" s="1">
        <v>5.5</v>
      </c>
      <c r="K12" s="1">
        <v>2</v>
      </c>
      <c r="M12" s="1">
        <v>11.57</v>
      </c>
      <c r="N12" s="1">
        <f t="shared" si="3"/>
        <v>0.33594657375145182</v>
      </c>
    </row>
    <row r="13" spans="1:14">
      <c r="A13" s="1">
        <v>1.33</v>
      </c>
      <c r="C13" s="1">
        <v>1</v>
      </c>
      <c r="D13" s="1">
        <v>2</v>
      </c>
      <c r="E13" s="1">
        <v>1</v>
      </c>
      <c r="F13" s="1">
        <v>8.25</v>
      </c>
      <c r="J13" s="1">
        <v>5.5</v>
      </c>
      <c r="K13" s="1">
        <v>2</v>
      </c>
      <c r="M13" s="1">
        <v>7.54</v>
      </c>
      <c r="N13" s="1">
        <f t="shared" si="3"/>
        <v>0.21893147502903601</v>
      </c>
    </row>
    <row r="14" spans="1:14">
      <c r="A14" s="1">
        <v>1.76</v>
      </c>
      <c r="C14" s="1">
        <v>1</v>
      </c>
      <c r="D14" s="1">
        <v>2</v>
      </c>
      <c r="E14" s="1">
        <v>1</v>
      </c>
      <c r="F14" s="1">
        <v>8.25</v>
      </c>
      <c r="J14" s="1">
        <v>5.5</v>
      </c>
      <c r="K14" s="1">
        <v>2</v>
      </c>
      <c r="M14" s="1">
        <v>4.49</v>
      </c>
      <c r="N14" s="1">
        <f t="shared" si="3"/>
        <v>0.13037166085946575</v>
      </c>
    </row>
    <row r="15" spans="1:14">
      <c r="A15" s="1">
        <v>2</v>
      </c>
      <c r="C15" s="1">
        <v>1</v>
      </c>
      <c r="D15" s="1">
        <v>2</v>
      </c>
      <c r="E15" s="1">
        <v>1</v>
      </c>
      <c r="F15" s="1">
        <v>8.25</v>
      </c>
      <c r="J15" s="1">
        <v>5.5</v>
      </c>
      <c r="K15" s="1">
        <v>2</v>
      </c>
      <c r="M15" s="1">
        <v>3.99</v>
      </c>
      <c r="N15" s="1">
        <f t="shared" si="3"/>
        <v>0.11585365853658539</v>
      </c>
    </row>
    <row r="16" spans="1:14">
      <c r="A16" s="1">
        <v>0</v>
      </c>
      <c r="C16" s="1">
        <v>2</v>
      </c>
      <c r="D16" s="1">
        <v>1</v>
      </c>
      <c r="E16" s="1">
        <v>1</v>
      </c>
      <c r="F16" s="1">
        <v>8.4499999999999993</v>
      </c>
      <c r="G16" s="1">
        <v>1.69</v>
      </c>
      <c r="H16" s="1">
        <f t="shared" ref="H16:H22" si="4">G16*5</f>
        <v>8.4499999999999993</v>
      </c>
      <c r="I16" s="1">
        <f t="shared" ref="I16:I22" si="5">H16/F16</f>
        <v>1</v>
      </c>
      <c r="J16" s="1">
        <v>5.5</v>
      </c>
      <c r="K16" s="1">
        <v>2</v>
      </c>
      <c r="M16" s="1">
        <v>46.94</v>
      </c>
      <c r="N16" s="1">
        <f t="shared" ref="N16:N22" si="6">M16/$M$16</f>
        <v>1</v>
      </c>
    </row>
    <row r="17" spans="1:14">
      <c r="A17" s="1">
        <v>0.43</v>
      </c>
      <c r="C17" s="1">
        <v>2</v>
      </c>
      <c r="D17" s="1">
        <v>1</v>
      </c>
      <c r="E17" s="1">
        <v>1</v>
      </c>
      <c r="F17" s="1">
        <v>8.4499999999999993</v>
      </c>
      <c r="G17" s="1">
        <v>1.56</v>
      </c>
      <c r="H17" s="1">
        <f t="shared" si="4"/>
        <v>7.8000000000000007</v>
      </c>
      <c r="I17" s="1">
        <f t="shared" si="5"/>
        <v>0.92307692307692324</v>
      </c>
      <c r="J17" s="1">
        <v>5.5</v>
      </c>
      <c r="K17" s="1">
        <v>2</v>
      </c>
      <c r="M17" s="1">
        <v>30.93</v>
      </c>
      <c r="N17" s="1">
        <f t="shared" si="6"/>
        <v>0.65892628887942051</v>
      </c>
    </row>
    <row r="18" spans="1:14">
      <c r="A18" s="1">
        <v>0.66</v>
      </c>
      <c r="C18" s="1">
        <v>2</v>
      </c>
      <c r="D18" s="1">
        <v>1</v>
      </c>
      <c r="E18" s="1">
        <v>1</v>
      </c>
      <c r="F18" s="1">
        <v>8.4499999999999993</v>
      </c>
      <c r="G18" s="1">
        <v>1.38</v>
      </c>
      <c r="H18" s="1">
        <f t="shared" si="4"/>
        <v>6.8999999999999995</v>
      </c>
      <c r="I18" s="1">
        <f t="shared" si="5"/>
        <v>0.81656804733727806</v>
      </c>
      <c r="J18" s="1">
        <v>5.5</v>
      </c>
      <c r="K18" s="1">
        <v>2</v>
      </c>
      <c r="M18" s="1">
        <v>19.45</v>
      </c>
      <c r="N18" s="1">
        <f t="shared" si="6"/>
        <v>0.41435875585854282</v>
      </c>
    </row>
    <row r="19" spans="1:14">
      <c r="A19" s="1">
        <v>1</v>
      </c>
      <c r="C19" s="1">
        <v>2</v>
      </c>
      <c r="D19" s="1">
        <v>1</v>
      </c>
      <c r="E19" s="1">
        <v>1</v>
      </c>
      <c r="F19" s="1">
        <v>8.4499999999999993</v>
      </c>
      <c r="G19" s="1">
        <v>1.28</v>
      </c>
      <c r="H19" s="1">
        <f t="shared" si="4"/>
        <v>6.4</v>
      </c>
      <c r="I19" s="1">
        <f t="shared" si="5"/>
        <v>0.75739644970414211</v>
      </c>
      <c r="J19" s="1">
        <v>5.5</v>
      </c>
      <c r="K19" s="1">
        <v>2</v>
      </c>
      <c r="M19" s="1">
        <v>12.65</v>
      </c>
      <c r="N19" s="1">
        <f t="shared" si="6"/>
        <v>0.26949296974861525</v>
      </c>
    </row>
    <row r="20" spans="1:14">
      <c r="A20" s="1">
        <v>1.33</v>
      </c>
      <c r="C20" s="1">
        <v>2</v>
      </c>
      <c r="D20" s="1">
        <v>1</v>
      </c>
      <c r="E20" s="1">
        <v>1</v>
      </c>
      <c r="F20" s="1">
        <v>8.4499999999999993</v>
      </c>
      <c r="G20" s="1">
        <v>1.1200000000000001</v>
      </c>
      <c r="H20" s="1">
        <f t="shared" si="4"/>
        <v>5.6000000000000005</v>
      </c>
      <c r="I20" s="1">
        <f t="shared" si="5"/>
        <v>0.66272189349112443</v>
      </c>
      <c r="J20" s="1">
        <v>5.5</v>
      </c>
      <c r="K20" s="1">
        <v>2</v>
      </c>
      <c r="M20" s="1">
        <v>6.74</v>
      </c>
      <c r="N20" s="1">
        <f t="shared" si="6"/>
        <v>0.14358755858542821</v>
      </c>
    </row>
    <row r="21" spans="1:14" ht="15.75" customHeight="1">
      <c r="A21" s="1">
        <v>1.76</v>
      </c>
      <c r="C21" s="1">
        <v>2</v>
      </c>
      <c r="D21" s="1">
        <v>1</v>
      </c>
      <c r="E21" s="1">
        <v>1</v>
      </c>
      <c r="F21" s="1">
        <v>8.4499999999999993</v>
      </c>
      <c r="G21" s="1">
        <v>1</v>
      </c>
      <c r="H21" s="1">
        <f t="shared" si="4"/>
        <v>5</v>
      </c>
      <c r="I21" s="1">
        <f t="shared" si="5"/>
        <v>0.59171597633136097</v>
      </c>
      <c r="J21" s="1">
        <v>5.5</v>
      </c>
      <c r="K21" s="1">
        <v>2</v>
      </c>
      <c r="M21" s="1">
        <v>5.07</v>
      </c>
      <c r="N21" s="1">
        <f t="shared" si="6"/>
        <v>0.10801022582019601</v>
      </c>
    </row>
    <row r="22" spans="1:14" ht="15.75" customHeight="1">
      <c r="A22" s="1">
        <v>2</v>
      </c>
      <c r="C22" s="1">
        <v>2</v>
      </c>
      <c r="D22" s="1">
        <v>1</v>
      </c>
      <c r="E22" s="1">
        <v>1</v>
      </c>
      <c r="F22" s="1">
        <v>8.4499999999999993</v>
      </c>
      <c r="G22" s="1">
        <v>0.88</v>
      </c>
      <c r="H22" s="1">
        <f t="shared" si="4"/>
        <v>4.4000000000000004</v>
      </c>
      <c r="I22" s="1">
        <f t="shared" si="5"/>
        <v>0.52071005917159774</v>
      </c>
      <c r="J22" s="1">
        <v>5.5</v>
      </c>
      <c r="K22" s="1">
        <v>2</v>
      </c>
      <c r="M22" s="1">
        <v>3.89</v>
      </c>
      <c r="N22" s="1">
        <f t="shared" si="6"/>
        <v>8.2871751171708571E-2</v>
      </c>
    </row>
    <row r="23" spans="1:14" ht="15.75" customHeight="1">
      <c r="A23" s="1">
        <v>0</v>
      </c>
      <c r="C23" s="1">
        <v>2</v>
      </c>
      <c r="D23" s="1">
        <v>2</v>
      </c>
      <c r="E23" s="1">
        <v>1</v>
      </c>
      <c r="F23" s="1">
        <v>8.4499999999999993</v>
      </c>
      <c r="J23" s="1">
        <v>5.5</v>
      </c>
      <c r="K23" s="1">
        <v>2</v>
      </c>
      <c r="M23" s="1">
        <v>43.52</v>
      </c>
      <c r="N23" s="1">
        <f t="shared" ref="N23:N29" si="7">M23/$M$23</f>
        <v>1</v>
      </c>
    </row>
    <row r="24" spans="1:14" ht="15.75" customHeight="1">
      <c r="A24" s="1">
        <v>0.43</v>
      </c>
      <c r="C24" s="1">
        <v>2</v>
      </c>
      <c r="D24" s="1">
        <v>2</v>
      </c>
      <c r="E24" s="1">
        <v>1</v>
      </c>
      <c r="F24" s="1">
        <v>8.4499999999999993</v>
      </c>
      <c r="J24" s="1">
        <v>5.5</v>
      </c>
      <c r="K24" s="1">
        <v>2</v>
      </c>
      <c r="M24" s="1">
        <v>30.11</v>
      </c>
      <c r="N24" s="1">
        <f t="shared" si="7"/>
        <v>0.69186580882352933</v>
      </c>
    </row>
    <row r="25" spans="1:14" ht="15.75" customHeight="1">
      <c r="A25" s="1">
        <v>0.66</v>
      </c>
      <c r="C25" s="1">
        <v>2</v>
      </c>
      <c r="D25" s="1">
        <v>2</v>
      </c>
      <c r="E25" s="1">
        <v>1</v>
      </c>
      <c r="F25" s="1">
        <v>8.4499999999999993</v>
      </c>
      <c r="J25" s="1">
        <v>5.5</v>
      </c>
      <c r="K25" s="1">
        <v>2</v>
      </c>
      <c r="M25" s="1">
        <v>23.48</v>
      </c>
      <c r="N25" s="1">
        <f t="shared" si="7"/>
        <v>0.53952205882352944</v>
      </c>
    </row>
    <row r="26" spans="1:14" ht="15.75" customHeight="1">
      <c r="A26" s="1">
        <v>1</v>
      </c>
      <c r="C26" s="1">
        <v>2</v>
      </c>
      <c r="D26" s="1">
        <v>2</v>
      </c>
      <c r="E26" s="1">
        <v>1</v>
      </c>
      <c r="F26" s="1">
        <v>8.4499999999999993</v>
      </c>
      <c r="J26" s="1">
        <v>5.5</v>
      </c>
      <c r="K26" s="1">
        <v>2</v>
      </c>
      <c r="M26" s="1">
        <v>14.51</v>
      </c>
      <c r="N26" s="1">
        <f t="shared" si="7"/>
        <v>0.3334099264705882</v>
      </c>
    </row>
    <row r="27" spans="1:14" ht="15.75" customHeight="1">
      <c r="A27" s="1">
        <v>1.33</v>
      </c>
      <c r="C27" s="1">
        <v>2</v>
      </c>
      <c r="D27" s="1">
        <v>2</v>
      </c>
      <c r="E27" s="1">
        <v>1</v>
      </c>
      <c r="F27" s="1">
        <v>8.4499999999999993</v>
      </c>
      <c r="J27" s="1">
        <v>5.5</v>
      </c>
      <c r="K27" s="1">
        <v>2</v>
      </c>
      <c r="M27" s="1">
        <v>7.15</v>
      </c>
      <c r="N27" s="1">
        <f t="shared" si="7"/>
        <v>0.16429227941176469</v>
      </c>
    </row>
    <row r="28" spans="1:14" ht="15.75" customHeight="1">
      <c r="A28" s="1">
        <v>1.76</v>
      </c>
      <c r="C28" s="1">
        <v>2</v>
      </c>
      <c r="D28" s="1">
        <v>2</v>
      </c>
      <c r="E28" s="1">
        <v>1</v>
      </c>
      <c r="F28" s="1">
        <v>8.4499999999999993</v>
      </c>
      <c r="J28" s="1">
        <v>5.5</v>
      </c>
      <c r="K28" s="1">
        <v>2</v>
      </c>
      <c r="M28" s="1">
        <v>5.29</v>
      </c>
      <c r="N28" s="1">
        <f t="shared" si="7"/>
        <v>0.12155330882352941</v>
      </c>
    </row>
    <row r="29" spans="1:14" ht="15.75" customHeight="1">
      <c r="A29" s="1">
        <v>2</v>
      </c>
      <c r="C29" s="1">
        <v>2</v>
      </c>
      <c r="D29" s="1">
        <v>2</v>
      </c>
      <c r="E29" s="1">
        <v>1</v>
      </c>
      <c r="F29" s="1">
        <v>8.4499999999999993</v>
      </c>
      <c r="J29" s="1">
        <v>5.5</v>
      </c>
      <c r="K29" s="1">
        <v>2</v>
      </c>
      <c r="M29" s="1">
        <v>3.9</v>
      </c>
      <c r="N29" s="1">
        <f t="shared" si="7"/>
        <v>8.9613970588235281E-2</v>
      </c>
    </row>
    <row r="30" spans="1:14" ht="15.75" customHeight="1"/>
    <row r="31" spans="1:14" ht="15.75" customHeight="1"/>
    <row r="32" spans="1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1000"/>
  <sheetViews>
    <sheetView workbookViewId="0">
      <selection activeCell="A2" sqref="A2:XFD15"/>
    </sheetView>
  </sheetViews>
  <sheetFormatPr baseColWidth="10" defaultColWidth="14.42578125" defaultRowHeight="15" customHeight="1"/>
  <cols>
    <col min="1" max="1" width="13" bestFit="1" customWidth="1"/>
    <col min="2" max="2" width="12.140625" bestFit="1" customWidth="1"/>
    <col min="3" max="3" width="19.85546875" bestFit="1" customWidth="1"/>
    <col min="4" max="4" width="15.7109375" bestFit="1" customWidth="1"/>
    <col min="5" max="5" width="3.5703125" bestFit="1" customWidth="1"/>
    <col min="6" max="6" width="13.7109375" bestFit="1" customWidth="1"/>
    <col min="7" max="7" width="26" bestFit="1" customWidth="1"/>
    <col min="8" max="8" width="16.5703125" customWidth="1"/>
    <col min="9" max="9" width="12" bestFit="1" customWidth="1"/>
    <col min="10" max="10" width="5" bestFit="1" customWidth="1"/>
    <col min="11" max="11" width="22" bestFit="1" customWidth="1"/>
    <col min="12" max="12" width="18.42578125" bestFit="1" customWidth="1"/>
    <col min="13" max="13" width="21.42578125" bestFit="1" customWidth="1"/>
    <col min="14" max="14" width="12.7109375" bestFit="1" customWidth="1"/>
    <col min="15" max="15" width="21.85546875" bestFit="1" customWidth="1"/>
    <col min="16" max="16" width="13.85546875" bestFit="1" customWidth="1"/>
    <col min="17" max="17" width="14" bestFit="1" customWidth="1"/>
    <col min="18" max="18" width="12.85546875" bestFit="1" customWidth="1"/>
    <col min="19" max="26" width="8.7109375" customWidth="1"/>
  </cols>
  <sheetData>
    <row r="1" spans="1:18">
      <c r="A1" s="1" t="s">
        <v>0</v>
      </c>
      <c r="B1" s="1" t="s">
        <v>14</v>
      </c>
      <c r="C1" s="1" t="s">
        <v>16</v>
      </c>
      <c r="D1" s="1" t="s">
        <v>17</v>
      </c>
      <c r="E1" s="1" t="s">
        <v>10</v>
      </c>
      <c r="F1" s="1" t="s">
        <v>2</v>
      </c>
      <c r="G1" s="1" t="s">
        <v>19</v>
      </c>
      <c r="H1" s="1" t="s">
        <v>7</v>
      </c>
      <c r="I1" s="1" t="s">
        <v>15</v>
      </c>
      <c r="J1" s="1" t="s">
        <v>3</v>
      </c>
      <c r="K1" s="1" t="s">
        <v>4</v>
      </c>
      <c r="L1" s="1" t="s">
        <v>18</v>
      </c>
      <c r="M1" s="1" t="s">
        <v>8</v>
      </c>
      <c r="N1" s="1" t="s">
        <v>9</v>
      </c>
      <c r="O1" s="1" t="s">
        <v>21</v>
      </c>
      <c r="P1" s="1" t="s">
        <v>22</v>
      </c>
      <c r="Q1" s="1" t="s">
        <v>23</v>
      </c>
      <c r="R1" s="1" t="s">
        <v>24</v>
      </c>
    </row>
    <row r="2" spans="1:18">
      <c r="A2" s="1">
        <v>0</v>
      </c>
      <c r="C2" s="1">
        <v>1</v>
      </c>
      <c r="D2" s="1">
        <v>1</v>
      </c>
      <c r="E2" s="1">
        <v>1</v>
      </c>
      <c r="F2" s="1">
        <v>8.9</v>
      </c>
      <c r="G2" s="1">
        <v>1.78</v>
      </c>
      <c r="H2" s="1">
        <f t="shared" ref="H2:H43" si="0">G2*5</f>
        <v>8.9</v>
      </c>
      <c r="I2" s="1">
        <f t="shared" ref="I2:I8" si="1">H2/F2</f>
        <v>1</v>
      </c>
      <c r="J2" s="1">
        <v>9.3000000000000007</v>
      </c>
      <c r="K2" s="1">
        <v>2</v>
      </c>
      <c r="M2" s="1">
        <v>85.99</v>
      </c>
      <c r="N2" s="1">
        <f t="shared" ref="N2:N8" si="2">M2/$M$2</f>
        <v>1</v>
      </c>
      <c r="O2" s="1">
        <v>3966</v>
      </c>
      <c r="Q2" s="4">
        <v>714791.22088284697</v>
      </c>
    </row>
    <row r="3" spans="1:18">
      <c r="A3" s="1">
        <v>0.43</v>
      </c>
      <c r="C3" s="1">
        <v>1</v>
      </c>
      <c r="D3" s="1">
        <v>1</v>
      </c>
      <c r="E3" s="1">
        <v>1</v>
      </c>
      <c r="F3" s="1">
        <v>8.9</v>
      </c>
      <c r="G3" s="1">
        <v>1.66</v>
      </c>
      <c r="H3" s="1">
        <f t="shared" si="0"/>
        <v>8.2999999999999989</v>
      </c>
      <c r="I3" s="1">
        <f t="shared" si="1"/>
        <v>0.93258426966292118</v>
      </c>
      <c r="J3" s="1">
        <v>9.3000000000000007</v>
      </c>
      <c r="K3" s="1">
        <v>2</v>
      </c>
      <c r="M3" s="1">
        <v>80.61</v>
      </c>
      <c r="N3" s="1">
        <f t="shared" si="2"/>
        <v>0.93743458541690894</v>
      </c>
      <c r="O3" s="1">
        <v>4173</v>
      </c>
      <c r="Q3" s="4">
        <v>126444.952215135</v>
      </c>
    </row>
    <row r="4" spans="1:18">
      <c r="A4" s="1">
        <v>0.66</v>
      </c>
      <c r="C4" s="1">
        <v>1</v>
      </c>
      <c r="D4" s="1">
        <v>1</v>
      </c>
      <c r="E4" s="1">
        <v>1</v>
      </c>
      <c r="F4" s="1">
        <v>8.9</v>
      </c>
      <c r="G4" s="1">
        <v>1.49</v>
      </c>
      <c r="H4" s="1">
        <f t="shared" si="0"/>
        <v>7.45</v>
      </c>
      <c r="I4" s="1">
        <f t="shared" si="1"/>
        <v>0.83707865168539319</v>
      </c>
      <c r="J4" s="1">
        <v>9.3000000000000007</v>
      </c>
      <c r="K4" s="1">
        <v>2</v>
      </c>
      <c r="M4" s="1">
        <v>80.5</v>
      </c>
      <c r="N4" s="1">
        <f t="shared" si="2"/>
        <v>0.93615536690312828</v>
      </c>
      <c r="O4" s="1">
        <v>4271</v>
      </c>
      <c r="Q4" s="4">
        <v>21505.167902391899</v>
      </c>
    </row>
    <row r="5" spans="1:18">
      <c r="A5" s="1">
        <v>1</v>
      </c>
      <c r="C5" s="1">
        <v>1</v>
      </c>
      <c r="D5" s="1">
        <v>1</v>
      </c>
      <c r="E5" s="1">
        <v>1</v>
      </c>
      <c r="F5" s="1">
        <v>8.9</v>
      </c>
      <c r="G5" s="1">
        <v>1.37</v>
      </c>
      <c r="H5" s="1">
        <f t="shared" si="0"/>
        <v>6.8500000000000005</v>
      </c>
      <c r="I5" s="1">
        <f t="shared" si="1"/>
        <v>0.7696629213483146</v>
      </c>
      <c r="J5" s="1">
        <v>9.3000000000000007</v>
      </c>
      <c r="K5" s="1">
        <v>2</v>
      </c>
      <c r="M5" s="1">
        <v>77.790000000000006</v>
      </c>
      <c r="N5" s="1">
        <f t="shared" si="2"/>
        <v>0.90464007442725913</v>
      </c>
      <c r="O5" s="1">
        <v>4075</v>
      </c>
      <c r="Q5" s="4">
        <v>3611.8262302881399</v>
      </c>
    </row>
    <row r="6" spans="1:18">
      <c r="A6" s="1">
        <v>1.33</v>
      </c>
      <c r="C6" s="1">
        <v>1</v>
      </c>
      <c r="D6" s="1">
        <v>1</v>
      </c>
      <c r="E6" s="1">
        <v>1</v>
      </c>
      <c r="F6" s="1">
        <v>8.9</v>
      </c>
      <c r="G6" s="1">
        <v>1.25</v>
      </c>
      <c r="H6" s="1">
        <f t="shared" si="0"/>
        <v>6.25</v>
      </c>
      <c r="I6" s="1">
        <f t="shared" si="1"/>
        <v>0.70224719101123589</v>
      </c>
      <c r="J6" s="1">
        <v>9.3000000000000007</v>
      </c>
      <c r="K6" s="1">
        <v>2</v>
      </c>
      <c r="M6" s="1">
        <v>74.510000000000005</v>
      </c>
      <c r="N6" s="1">
        <f t="shared" si="2"/>
        <v>0.8664961041981627</v>
      </c>
      <c r="O6" s="1">
        <v>3926</v>
      </c>
      <c r="Q6" s="4">
        <v>3336.8696379295602</v>
      </c>
    </row>
    <row r="7" spans="1:18">
      <c r="A7" s="1">
        <v>1.76</v>
      </c>
      <c r="C7" s="1">
        <v>1</v>
      </c>
      <c r="D7" s="1">
        <v>1</v>
      </c>
      <c r="E7" s="1">
        <v>1</v>
      </c>
      <c r="F7" s="1">
        <v>8.9</v>
      </c>
      <c r="G7" s="1">
        <v>1.1299999999999999</v>
      </c>
      <c r="H7" s="1">
        <f t="shared" si="0"/>
        <v>5.6499999999999995</v>
      </c>
      <c r="I7" s="1">
        <f t="shared" si="1"/>
        <v>0.63483146067415719</v>
      </c>
      <c r="J7" s="1">
        <v>9.3000000000000007</v>
      </c>
      <c r="K7" s="1">
        <v>2</v>
      </c>
      <c r="M7" s="1">
        <v>69.55</v>
      </c>
      <c r="N7" s="1">
        <f t="shared" si="2"/>
        <v>0.80881497848587047</v>
      </c>
      <c r="O7" s="1">
        <v>3936</v>
      </c>
      <c r="Q7" s="4">
        <v>1343.91331868561</v>
      </c>
    </row>
    <row r="8" spans="1:18">
      <c r="A8" s="1">
        <v>2</v>
      </c>
      <c r="C8" s="1">
        <v>1</v>
      </c>
      <c r="D8" s="1">
        <v>1</v>
      </c>
      <c r="E8" s="1">
        <v>1</v>
      </c>
      <c r="F8" s="1">
        <v>8.9</v>
      </c>
      <c r="G8" s="1">
        <v>1.03</v>
      </c>
      <c r="H8" s="1">
        <f t="shared" si="0"/>
        <v>5.15</v>
      </c>
      <c r="I8" s="1">
        <f t="shared" si="1"/>
        <v>0.5786516853932584</v>
      </c>
      <c r="J8" s="1">
        <v>9.3000000000000007</v>
      </c>
      <c r="K8" s="1">
        <v>2</v>
      </c>
      <c r="M8" s="1">
        <v>68.03</v>
      </c>
      <c r="N8" s="1">
        <f t="shared" si="2"/>
        <v>0.79113850447726486</v>
      </c>
      <c r="O8" s="1">
        <v>3929</v>
      </c>
      <c r="Q8" s="4">
        <v>1353.5618805767899</v>
      </c>
    </row>
    <row r="9" spans="1:18">
      <c r="A9" s="1">
        <v>0</v>
      </c>
      <c r="C9" s="1">
        <v>1</v>
      </c>
      <c r="D9" s="1">
        <v>2</v>
      </c>
      <c r="E9" s="1">
        <v>1</v>
      </c>
      <c r="F9" s="1">
        <v>8.9</v>
      </c>
      <c r="H9" s="1">
        <f t="shared" si="0"/>
        <v>0</v>
      </c>
      <c r="J9" s="1">
        <v>9.3000000000000007</v>
      </c>
      <c r="K9" s="1">
        <v>2</v>
      </c>
      <c r="M9" s="1">
        <v>82.68</v>
      </c>
      <c r="N9" s="1">
        <f t="shared" ref="N9:N15" si="3">M9/$M$9</f>
        <v>1</v>
      </c>
      <c r="O9" s="1">
        <v>4255</v>
      </c>
      <c r="Q9" s="4">
        <v>492172.70205436699</v>
      </c>
    </row>
    <row r="10" spans="1:18">
      <c r="A10" s="1">
        <v>0.43</v>
      </c>
      <c r="C10" s="1">
        <v>1</v>
      </c>
      <c r="D10" s="1">
        <v>2</v>
      </c>
      <c r="E10" s="1">
        <v>1</v>
      </c>
      <c r="F10" s="1">
        <v>8.9</v>
      </c>
      <c r="H10" s="1">
        <f t="shared" si="0"/>
        <v>0</v>
      </c>
      <c r="J10" s="1">
        <v>9.3000000000000007</v>
      </c>
      <c r="K10" s="1">
        <v>2</v>
      </c>
      <c r="M10" s="1">
        <v>84.51</v>
      </c>
      <c r="N10" s="1">
        <f t="shared" si="3"/>
        <v>1.0221335268505081</v>
      </c>
      <c r="O10" s="1">
        <v>4262</v>
      </c>
      <c r="Q10" s="4">
        <v>128644.978809899</v>
      </c>
    </row>
    <row r="11" spans="1:18">
      <c r="A11" s="1">
        <v>0.66</v>
      </c>
      <c r="C11" s="1">
        <v>1</v>
      </c>
      <c r="D11" s="1">
        <v>2</v>
      </c>
      <c r="E11" s="1">
        <v>1</v>
      </c>
      <c r="F11" s="1">
        <v>8.9</v>
      </c>
      <c r="H11" s="1">
        <f t="shared" si="0"/>
        <v>0</v>
      </c>
      <c r="J11" s="1">
        <v>9.3000000000000007</v>
      </c>
      <c r="K11" s="1">
        <v>2</v>
      </c>
      <c r="M11" s="1">
        <v>80.849999999999994</v>
      </c>
      <c r="N11" s="1">
        <f t="shared" si="3"/>
        <v>0.97786647314949182</v>
      </c>
      <c r="O11" s="1">
        <v>4195</v>
      </c>
      <c r="Q11" s="4">
        <v>21362.241668107501</v>
      </c>
    </row>
    <row r="12" spans="1:18">
      <c r="A12" s="1">
        <v>1</v>
      </c>
      <c r="C12" s="1">
        <v>1</v>
      </c>
      <c r="D12" s="1">
        <v>2</v>
      </c>
      <c r="E12" s="1">
        <v>1</v>
      </c>
      <c r="F12" s="1">
        <v>8.9</v>
      </c>
      <c r="H12" s="1">
        <f t="shared" si="0"/>
        <v>0</v>
      </c>
      <c r="J12" s="1">
        <v>9.3000000000000007</v>
      </c>
      <c r="K12" s="1">
        <v>2</v>
      </c>
      <c r="M12" s="1">
        <v>75.709999999999994</v>
      </c>
      <c r="N12" s="1">
        <f t="shared" si="3"/>
        <v>0.91569908079342022</v>
      </c>
      <c r="O12" s="1">
        <v>4242</v>
      </c>
      <c r="Q12" s="4">
        <v>1927.6935303282401</v>
      </c>
    </row>
    <row r="13" spans="1:18">
      <c r="A13" s="1">
        <v>1.33</v>
      </c>
      <c r="C13" s="1">
        <v>1</v>
      </c>
      <c r="D13" s="1">
        <v>2</v>
      </c>
      <c r="E13" s="1">
        <v>1</v>
      </c>
      <c r="F13" s="1">
        <v>8.9</v>
      </c>
      <c r="H13" s="1">
        <f t="shared" si="0"/>
        <v>0</v>
      </c>
      <c r="J13" s="1">
        <v>9.3000000000000007</v>
      </c>
      <c r="K13" s="1">
        <v>2</v>
      </c>
      <c r="M13" s="1">
        <v>74.98</v>
      </c>
      <c r="N13" s="1">
        <f t="shared" si="3"/>
        <v>0.9068698597000483</v>
      </c>
      <c r="O13" s="1">
        <v>4020</v>
      </c>
      <c r="Q13" s="4">
        <v>3066.8529643768902</v>
      </c>
    </row>
    <row r="14" spans="1:18">
      <c r="A14" s="1">
        <v>1.76</v>
      </c>
      <c r="C14" s="1">
        <v>1</v>
      </c>
      <c r="D14" s="1">
        <v>2</v>
      </c>
      <c r="E14" s="1">
        <v>1</v>
      </c>
      <c r="F14" s="1">
        <v>8.9</v>
      </c>
      <c r="H14" s="1">
        <f t="shared" si="0"/>
        <v>0</v>
      </c>
      <c r="J14" s="1">
        <v>9.3000000000000007</v>
      </c>
      <c r="K14" s="1">
        <v>2</v>
      </c>
      <c r="M14" s="1">
        <v>77.33</v>
      </c>
      <c r="N14" s="1">
        <f t="shared" si="3"/>
        <v>0.93529269472665688</v>
      </c>
      <c r="O14" s="1">
        <v>4008</v>
      </c>
      <c r="Q14" s="4">
        <v>1406.28446038281</v>
      </c>
    </row>
    <row r="15" spans="1:18">
      <c r="A15" s="1">
        <v>2</v>
      </c>
      <c r="C15" s="1">
        <v>1</v>
      </c>
      <c r="D15" s="1">
        <v>2</v>
      </c>
      <c r="E15" s="1">
        <v>1</v>
      </c>
      <c r="F15" s="1">
        <v>8.9</v>
      </c>
      <c r="H15" s="1">
        <f t="shared" si="0"/>
        <v>0</v>
      </c>
      <c r="J15" s="1">
        <v>9.3000000000000007</v>
      </c>
      <c r="K15" s="1">
        <v>2</v>
      </c>
      <c r="M15" s="1">
        <v>67.569999999999993</v>
      </c>
      <c r="N15" s="1">
        <f t="shared" si="3"/>
        <v>0.8172472181906143</v>
      </c>
      <c r="O15" s="1">
        <v>3845</v>
      </c>
      <c r="Q15" s="4">
        <v>3201.14368956832</v>
      </c>
    </row>
    <row r="16" spans="1:18">
      <c r="A16" s="1">
        <v>0</v>
      </c>
      <c r="C16" s="1">
        <v>2</v>
      </c>
      <c r="D16" s="1">
        <v>1</v>
      </c>
      <c r="E16" s="1">
        <v>1</v>
      </c>
      <c r="F16" s="1">
        <v>8.5</v>
      </c>
      <c r="G16" s="1">
        <v>1.7</v>
      </c>
      <c r="H16" s="1">
        <f t="shared" si="0"/>
        <v>8.5</v>
      </c>
      <c r="I16" s="1">
        <f t="shared" ref="I16:I22" si="4">H16/F16</f>
        <v>1</v>
      </c>
      <c r="J16" s="1">
        <v>8.9499999999999993</v>
      </c>
      <c r="K16" s="1">
        <v>2</v>
      </c>
      <c r="M16" s="1">
        <v>81.13</v>
      </c>
      <c r="N16" s="1">
        <f t="shared" ref="N16:N22" si="5">M16/$M$16</f>
        <v>1</v>
      </c>
      <c r="O16" s="5">
        <v>4407</v>
      </c>
      <c r="P16" s="1">
        <f t="shared" ref="P16:P22" si="6">O16/$O$16</f>
        <v>1</v>
      </c>
      <c r="Q16" s="4">
        <v>667752.29261556198</v>
      </c>
      <c r="R16" s="1">
        <f t="shared" ref="R16:R22" si="7">Q16/$Q$16</f>
        <v>1</v>
      </c>
    </row>
    <row r="17" spans="1:18">
      <c r="A17" s="1">
        <v>0.43</v>
      </c>
      <c r="C17" s="1">
        <v>2</v>
      </c>
      <c r="D17" s="1">
        <v>1</v>
      </c>
      <c r="E17" s="1">
        <v>1</v>
      </c>
      <c r="F17" s="1">
        <v>8.5</v>
      </c>
      <c r="G17" s="1">
        <v>1.58</v>
      </c>
      <c r="H17" s="1">
        <f t="shared" si="0"/>
        <v>7.9</v>
      </c>
      <c r="I17" s="1">
        <f t="shared" si="4"/>
        <v>0.92941176470588238</v>
      </c>
      <c r="J17" s="1">
        <v>8.9499999999999993</v>
      </c>
      <c r="K17" s="1">
        <v>2</v>
      </c>
      <c r="M17" s="1">
        <v>81.819999999999993</v>
      </c>
      <c r="N17" s="1">
        <f t="shared" si="5"/>
        <v>1.0085048687292</v>
      </c>
      <c r="O17" s="5">
        <v>4159</v>
      </c>
      <c r="P17" s="1">
        <f t="shared" si="6"/>
        <v>0.94372589062854551</v>
      </c>
      <c r="Q17" s="4">
        <v>132344.39601850099</v>
      </c>
      <c r="R17" s="1">
        <f t="shared" si="7"/>
        <v>0.19819384745219323</v>
      </c>
    </row>
    <row r="18" spans="1:18">
      <c r="A18" s="1">
        <v>0.66</v>
      </c>
      <c r="C18" s="1">
        <v>2</v>
      </c>
      <c r="D18" s="1">
        <v>1</v>
      </c>
      <c r="E18" s="1">
        <v>1</v>
      </c>
      <c r="F18" s="1">
        <v>8.5</v>
      </c>
      <c r="G18" s="1">
        <v>1.37</v>
      </c>
      <c r="H18" s="1">
        <f t="shared" si="0"/>
        <v>6.8500000000000005</v>
      </c>
      <c r="I18" s="1">
        <f t="shared" si="4"/>
        <v>0.80588235294117649</v>
      </c>
      <c r="J18" s="1">
        <v>8.9499999999999993</v>
      </c>
      <c r="K18" s="1">
        <v>2</v>
      </c>
      <c r="M18" s="1">
        <v>75.48</v>
      </c>
      <c r="N18" s="1">
        <f t="shared" si="5"/>
        <v>0.93035868359423157</v>
      </c>
      <c r="O18" s="5">
        <v>4095</v>
      </c>
      <c r="P18" s="1">
        <f t="shared" si="6"/>
        <v>0.92920353982300885</v>
      </c>
      <c r="Q18" s="4">
        <v>19133.2100951184</v>
      </c>
      <c r="R18" s="1">
        <f t="shared" si="7"/>
        <v>2.8653155229425416E-2</v>
      </c>
    </row>
    <row r="19" spans="1:18">
      <c r="A19" s="1">
        <v>1</v>
      </c>
      <c r="C19" s="1">
        <v>2</v>
      </c>
      <c r="D19" s="1">
        <v>1</v>
      </c>
      <c r="E19" s="1">
        <v>1</v>
      </c>
      <c r="F19" s="1">
        <v>8.5</v>
      </c>
      <c r="G19" s="1">
        <v>1.28</v>
      </c>
      <c r="H19" s="1">
        <f t="shared" si="0"/>
        <v>6.4</v>
      </c>
      <c r="I19" s="1">
        <f t="shared" si="4"/>
        <v>0.75294117647058822</v>
      </c>
      <c r="J19" s="1">
        <v>8.9499999999999993</v>
      </c>
      <c r="K19" s="1">
        <v>2</v>
      </c>
      <c r="M19" s="1">
        <v>83.2</v>
      </c>
      <c r="N19" s="1">
        <f t="shared" si="5"/>
        <v>1.0255146061876002</v>
      </c>
      <c r="O19" s="5">
        <v>3756</v>
      </c>
      <c r="P19" s="1">
        <f t="shared" si="6"/>
        <v>0.85228046289993198</v>
      </c>
      <c r="Q19" s="4">
        <v>4342.91604550995</v>
      </c>
      <c r="R19" s="1">
        <f t="shared" si="7"/>
        <v>6.503783054789527E-3</v>
      </c>
    </row>
    <row r="20" spans="1:18">
      <c r="A20" s="1">
        <v>1.33</v>
      </c>
      <c r="C20" s="1">
        <v>2</v>
      </c>
      <c r="D20" s="1">
        <v>1</v>
      </c>
      <c r="E20" s="1">
        <v>1</v>
      </c>
      <c r="F20" s="1">
        <v>8.5</v>
      </c>
      <c r="G20" s="1">
        <v>1.2</v>
      </c>
      <c r="H20" s="1">
        <f t="shared" si="0"/>
        <v>6</v>
      </c>
      <c r="I20" s="1">
        <f t="shared" si="4"/>
        <v>0.70588235294117652</v>
      </c>
      <c r="J20" s="1">
        <v>8.9499999999999993</v>
      </c>
      <c r="K20" s="1">
        <v>2</v>
      </c>
      <c r="M20" s="1">
        <v>82.71</v>
      </c>
      <c r="N20" s="1">
        <f t="shared" si="5"/>
        <v>1.0194749168001971</v>
      </c>
      <c r="O20" s="5">
        <v>2949</v>
      </c>
      <c r="P20" s="1">
        <f t="shared" si="6"/>
        <v>0.66916269571136833</v>
      </c>
      <c r="Q20" s="4">
        <v>1769.9951274776799</v>
      </c>
      <c r="R20" s="1">
        <f t="shared" si="7"/>
        <v>2.6506762268754961E-3</v>
      </c>
    </row>
    <row r="21" spans="1:18" ht="15.75" customHeight="1">
      <c r="A21" s="1">
        <v>1.76</v>
      </c>
      <c r="C21" s="1">
        <v>2</v>
      </c>
      <c r="D21" s="1">
        <v>1</v>
      </c>
      <c r="E21" s="1">
        <v>1</v>
      </c>
      <c r="F21" s="1">
        <v>8.5</v>
      </c>
      <c r="G21" s="1">
        <v>1.03</v>
      </c>
      <c r="H21" s="1">
        <f t="shared" si="0"/>
        <v>5.15</v>
      </c>
      <c r="I21" s="1">
        <f t="shared" si="4"/>
        <v>0.60588235294117654</v>
      </c>
      <c r="J21" s="1">
        <v>8.9499999999999993</v>
      </c>
      <c r="K21" s="1">
        <v>2</v>
      </c>
      <c r="M21" s="1">
        <v>63.96</v>
      </c>
      <c r="N21" s="1">
        <f t="shared" si="5"/>
        <v>0.78836435350671763</v>
      </c>
      <c r="O21" s="5">
        <v>2910</v>
      </c>
      <c r="P21" s="1">
        <f t="shared" si="6"/>
        <v>0.66031313818924442</v>
      </c>
      <c r="Q21" s="4"/>
      <c r="R21" s="1">
        <f t="shared" si="7"/>
        <v>0</v>
      </c>
    </row>
    <row r="22" spans="1:18" ht="15.75" customHeight="1">
      <c r="A22" s="1">
        <v>2</v>
      </c>
      <c r="C22" s="1">
        <v>2</v>
      </c>
      <c r="D22" s="1">
        <v>1</v>
      </c>
      <c r="E22" s="1">
        <v>1</v>
      </c>
      <c r="F22" s="1">
        <v>8.5</v>
      </c>
      <c r="G22" s="1">
        <v>0.94</v>
      </c>
      <c r="H22" s="1">
        <f t="shared" si="0"/>
        <v>4.6999999999999993</v>
      </c>
      <c r="I22" s="1">
        <f t="shared" si="4"/>
        <v>0.55294117647058816</v>
      </c>
      <c r="J22" s="1">
        <v>8.9499999999999993</v>
      </c>
      <c r="K22" s="1">
        <v>2</v>
      </c>
      <c r="M22" s="1">
        <v>85.9</v>
      </c>
      <c r="N22" s="1">
        <f t="shared" si="5"/>
        <v>1.0587945273018613</v>
      </c>
      <c r="O22" s="5">
        <v>2832</v>
      </c>
      <c r="P22" s="1">
        <f t="shared" si="6"/>
        <v>0.6426140231449966</v>
      </c>
      <c r="Q22" s="4"/>
      <c r="R22" s="1">
        <f t="shared" si="7"/>
        <v>0</v>
      </c>
    </row>
    <row r="23" spans="1:18" ht="15.75" customHeight="1">
      <c r="A23" s="1">
        <v>0</v>
      </c>
      <c r="C23" s="1">
        <v>2</v>
      </c>
      <c r="D23" s="1">
        <v>2</v>
      </c>
      <c r="E23" s="1">
        <v>1</v>
      </c>
      <c r="F23" s="1">
        <v>8.5</v>
      </c>
      <c r="H23" s="1">
        <f t="shared" si="0"/>
        <v>0</v>
      </c>
      <c r="J23" s="1">
        <v>8.9499999999999993</v>
      </c>
      <c r="K23" s="1">
        <v>2</v>
      </c>
      <c r="M23" s="1">
        <v>91.75</v>
      </c>
      <c r="N23" s="1">
        <f t="shared" ref="N23:N29" si="8">M23/$M$23</f>
        <v>1</v>
      </c>
      <c r="O23" s="5">
        <v>4348</v>
      </c>
      <c r="P23" s="1">
        <f t="shared" ref="P23:P29" si="9">O23/$O$23</f>
        <v>1</v>
      </c>
      <c r="Q23" s="4">
        <v>667270.305085378</v>
      </c>
      <c r="R23" s="1">
        <f t="shared" ref="R23:R27" si="10">Q23/$Q$23</f>
        <v>1</v>
      </c>
    </row>
    <row r="24" spans="1:18" ht="15.75" customHeight="1">
      <c r="A24" s="1">
        <v>0.43</v>
      </c>
      <c r="C24" s="1">
        <v>2</v>
      </c>
      <c r="D24" s="1">
        <v>2</v>
      </c>
      <c r="E24" s="1">
        <v>1</v>
      </c>
      <c r="F24" s="1">
        <v>8.5</v>
      </c>
      <c r="H24" s="1">
        <f t="shared" si="0"/>
        <v>0</v>
      </c>
      <c r="J24" s="1">
        <v>8.9499999999999993</v>
      </c>
      <c r="K24" s="1">
        <v>2</v>
      </c>
      <c r="M24" s="1">
        <v>92.56</v>
      </c>
      <c r="N24" s="1">
        <f t="shared" si="8"/>
        <v>1.0088283378746594</v>
      </c>
      <c r="O24" s="5">
        <v>4226</v>
      </c>
      <c r="P24" s="1">
        <f t="shared" si="9"/>
        <v>0.97194112235510577</v>
      </c>
      <c r="Q24" s="4">
        <v>130243.53118789299</v>
      </c>
      <c r="R24" s="1">
        <f t="shared" si="10"/>
        <v>0.19518856180963753</v>
      </c>
    </row>
    <row r="25" spans="1:18" ht="15.75" customHeight="1">
      <c r="A25" s="1">
        <v>0.66</v>
      </c>
      <c r="C25" s="1">
        <v>2</v>
      </c>
      <c r="D25" s="1">
        <v>2</v>
      </c>
      <c r="E25" s="1">
        <v>1</v>
      </c>
      <c r="F25" s="1">
        <v>8.5</v>
      </c>
      <c r="H25" s="1">
        <f t="shared" si="0"/>
        <v>0</v>
      </c>
      <c r="J25" s="1">
        <v>8.9499999999999993</v>
      </c>
      <c r="K25" s="1">
        <v>2</v>
      </c>
      <c r="M25" s="1">
        <v>86.82</v>
      </c>
      <c r="N25" s="1">
        <f t="shared" si="8"/>
        <v>0.94626702997275192</v>
      </c>
      <c r="O25" s="5">
        <v>4140</v>
      </c>
      <c r="P25" s="1">
        <f t="shared" si="9"/>
        <v>0.95216191352345902</v>
      </c>
      <c r="Q25" s="4">
        <v>18804.520153668302</v>
      </c>
      <c r="R25" s="1">
        <f t="shared" si="10"/>
        <v>2.8181263290687333E-2</v>
      </c>
    </row>
    <row r="26" spans="1:18" ht="15.75" customHeight="1">
      <c r="A26" s="1">
        <v>1</v>
      </c>
      <c r="C26" s="1">
        <v>2</v>
      </c>
      <c r="D26" s="1">
        <v>2</v>
      </c>
      <c r="E26" s="1">
        <v>1</v>
      </c>
      <c r="F26" s="1">
        <v>8.5</v>
      </c>
      <c r="H26" s="1">
        <f t="shared" si="0"/>
        <v>0</v>
      </c>
      <c r="J26" s="1">
        <v>8.9499999999999993</v>
      </c>
      <c r="K26" s="1">
        <v>2</v>
      </c>
      <c r="M26" s="1">
        <v>75.37</v>
      </c>
      <c r="N26" s="1">
        <f t="shared" si="8"/>
        <v>0.8214713896457766</v>
      </c>
      <c r="O26" s="5">
        <v>3188</v>
      </c>
      <c r="P26" s="1">
        <f t="shared" si="9"/>
        <v>0.73321067157313713</v>
      </c>
      <c r="Q26" s="4">
        <v>7103.4716251764703</v>
      </c>
      <c r="R26" s="1">
        <f t="shared" si="10"/>
        <v>1.0645568326718169E-2</v>
      </c>
    </row>
    <row r="27" spans="1:18" ht="15.75" customHeight="1">
      <c r="A27" s="1">
        <v>1.33</v>
      </c>
      <c r="C27" s="1">
        <v>2</v>
      </c>
      <c r="D27" s="1">
        <v>2</v>
      </c>
      <c r="E27" s="1">
        <v>1</v>
      </c>
      <c r="F27" s="1">
        <v>8.5</v>
      </c>
      <c r="H27" s="1">
        <f t="shared" si="0"/>
        <v>0</v>
      </c>
      <c r="J27" s="1">
        <v>8.9499999999999993</v>
      </c>
      <c r="K27" s="1">
        <v>2</v>
      </c>
      <c r="M27" s="1">
        <v>87.57</v>
      </c>
      <c r="N27" s="1">
        <f t="shared" si="8"/>
        <v>0.95444141689373285</v>
      </c>
      <c r="O27" s="5">
        <v>3009</v>
      </c>
      <c r="P27" s="1">
        <f t="shared" si="9"/>
        <v>0.6920423183072677</v>
      </c>
      <c r="Q27" s="4">
        <v>1703.06144623978</v>
      </c>
      <c r="R27" s="1">
        <f t="shared" si="10"/>
        <v>2.5522811868900286E-3</v>
      </c>
    </row>
    <row r="28" spans="1:18" ht="15.75" customHeight="1">
      <c r="A28" s="1">
        <v>1.76</v>
      </c>
      <c r="C28" s="1">
        <v>2</v>
      </c>
      <c r="D28" s="1">
        <v>2</v>
      </c>
      <c r="E28" s="1">
        <v>1</v>
      </c>
      <c r="F28" s="1">
        <v>8.5</v>
      </c>
      <c r="H28" s="1">
        <f t="shared" si="0"/>
        <v>0</v>
      </c>
      <c r="J28" s="1">
        <v>8.9499999999999993</v>
      </c>
      <c r="K28" s="1">
        <v>2</v>
      </c>
      <c r="M28" s="1">
        <v>86.81</v>
      </c>
      <c r="N28" s="1">
        <f t="shared" si="8"/>
        <v>0.94615803814713895</v>
      </c>
      <c r="O28" s="5">
        <v>3003</v>
      </c>
      <c r="P28" s="1">
        <f t="shared" si="9"/>
        <v>0.69066237350505977</v>
      </c>
    </row>
    <row r="29" spans="1:18" ht="15.75" customHeight="1">
      <c r="A29" s="1">
        <v>2</v>
      </c>
      <c r="C29" s="1">
        <v>2</v>
      </c>
      <c r="D29" s="1">
        <v>2</v>
      </c>
      <c r="E29" s="1">
        <v>1</v>
      </c>
      <c r="F29" s="1">
        <v>8.5</v>
      </c>
      <c r="H29" s="1">
        <f t="shared" si="0"/>
        <v>0</v>
      </c>
      <c r="J29" s="1">
        <v>8.9499999999999993</v>
      </c>
      <c r="K29" s="1">
        <v>2</v>
      </c>
      <c r="M29" s="1">
        <v>76.5</v>
      </c>
      <c r="N29" s="1">
        <f t="shared" si="8"/>
        <v>0.83378746594005448</v>
      </c>
      <c r="O29" s="5">
        <v>2837</v>
      </c>
      <c r="P29" s="1">
        <f t="shared" si="9"/>
        <v>0.65248390064397421</v>
      </c>
    </row>
    <row r="30" spans="1:18" ht="15.75" customHeight="1">
      <c r="A30" s="1">
        <v>0</v>
      </c>
      <c r="C30" s="1">
        <v>2</v>
      </c>
      <c r="D30" s="1">
        <v>1</v>
      </c>
      <c r="E30" s="1">
        <v>1</v>
      </c>
      <c r="F30" s="1">
        <v>8</v>
      </c>
      <c r="G30" s="1">
        <v>1.6</v>
      </c>
      <c r="H30" s="1">
        <f t="shared" si="0"/>
        <v>8</v>
      </c>
      <c r="I30" s="1">
        <f t="shared" ref="I30:I36" si="11">H30/F30</f>
        <v>1</v>
      </c>
      <c r="J30" s="1">
        <v>9.17</v>
      </c>
      <c r="K30" s="1">
        <v>2</v>
      </c>
      <c r="M30" s="1">
        <v>81.28</v>
      </c>
      <c r="N30" s="1">
        <f>M30/$M$30</f>
        <v>1</v>
      </c>
    </row>
    <row r="31" spans="1:18" ht="15.75" customHeight="1">
      <c r="A31" s="1">
        <v>0.43</v>
      </c>
      <c r="C31" s="1">
        <v>2</v>
      </c>
      <c r="D31" s="1">
        <v>1</v>
      </c>
      <c r="E31" s="1">
        <v>1</v>
      </c>
      <c r="F31" s="1">
        <v>8</v>
      </c>
      <c r="G31" s="1">
        <v>1.53</v>
      </c>
      <c r="H31" s="1">
        <f t="shared" si="0"/>
        <v>7.65</v>
      </c>
      <c r="I31" s="1">
        <f t="shared" si="11"/>
        <v>0.95625000000000004</v>
      </c>
      <c r="J31" s="1">
        <v>9.17</v>
      </c>
      <c r="K31" s="1">
        <v>2</v>
      </c>
      <c r="M31" s="1">
        <v>77.36</v>
      </c>
      <c r="N31" s="1">
        <f t="shared" ref="N31:N36" si="12">M31/$M$16</f>
        <v>0.95353136940712446</v>
      </c>
    </row>
    <row r="32" spans="1:18" ht="15.75" customHeight="1">
      <c r="A32" s="1">
        <v>0.66</v>
      </c>
      <c r="C32" s="1">
        <v>2</v>
      </c>
      <c r="D32" s="1">
        <v>1</v>
      </c>
      <c r="E32" s="1">
        <v>1</v>
      </c>
      <c r="F32" s="1">
        <v>8</v>
      </c>
      <c r="G32" s="1">
        <v>1.44</v>
      </c>
      <c r="H32" s="1">
        <f t="shared" si="0"/>
        <v>7.1999999999999993</v>
      </c>
      <c r="I32" s="1">
        <f t="shared" si="11"/>
        <v>0.89999999999999991</v>
      </c>
      <c r="J32" s="1">
        <v>9.17</v>
      </c>
      <c r="K32" s="1">
        <v>2</v>
      </c>
      <c r="M32" s="1">
        <v>81.23</v>
      </c>
      <c r="N32" s="1">
        <f t="shared" si="12"/>
        <v>1.0012325896708987</v>
      </c>
    </row>
    <row r="33" spans="1:14" ht="15.75" customHeight="1">
      <c r="A33" s="1">
        <v>1</v>
      </c>
      <c r="C33" s="1">
        <v>2</v>
      </c>
      <c r="D33" s="1">
        <v>1</v>
      </c>
      <c r="E33" s="1">
        <v>1</v>
      </c>
      <c r="F33" s="1">
        <v>8</v>
      </c>
      <c r="G33" s="1">
        <v>1.33</v>
      </c>
      <c r="H33" s="1">
        <f t="shared" si="0"/>
        <v>6.65</v>
      </c>
      <c r="I33" s="1">
        <f t="shared" si="11"/>
        <v>0.83125000000000004</v>
      </c>
      <c r="J33" s="1">
        <v>9.17</v>
      </c>
      <c r="K33" s="1">
        <v>2</v>
      </c>
      <c r="M33" s="1">
        <v>83</v>
      </c>
      <c r="N33" s="1">
        <f t="shared" si="12"/>
        <v>1.023049426845803</v>
      </c>
    </row>
    <row r="34" spans="1:14" ht="15.75" customHeight="1">
      <c r="A34" s="1">
        <v>1.33</v>
      </c>
      <c r="C34" s="1">
        <v>2</v>
      </c>
      <c r="D34" s="1">
        <v>1</v>
      </c>
      <c r="E34" s="1">
        <v>1</v>
      </c>
      <c r="F34" s="1">
        <v>8</v>
      </c>
      <c r="G34" s="1">
        <v>1.19</v>
      </c>
      <c r="H34" s="1">
        <f t="shared" si="0"/>
        <v>5.9499999999999993</v>
      </c>
      <c r="I34" s="1">
        <f t="shared" si="11"/>
        <v>0.74374999999999991</v>
      </c>
      <c r="J34" s="1">
        <v>9.17</v>
      </c>
      <c r="K34" s="1">
        <v>2</v>
      </c>
      <c r="M34" s="1">
        <v>79.489999999999995</v>
      </c>
      <c r="N34" s="1">
        <f t="shared" si="12"/>
        <v>0.9797855293972636</v>
      </c>
    </row>
    <row r="35" spans="1:14" ht="15.75" customHeight="1">
      <c r="A35" s="1">
        <v>1.76</v>
      </c>
      <c r="C35" s="1">
        <v>2</v>
      </c>
      <c r="D35" s="1">
        <v>1</v>
      </c>
      <c r="E35" s="1">
        <v>1</v>
      </c>
      <c r="F35" s="1">
        <v>8</v>
      </c>
      <c r="G35" s="1">
        <v>1.07</v>
      </c>
      <c r="H35" s="1">
        <f t="shared" si="0"/>
        <v>5.3500000000000005</v>
      </c>
      <c r="I35" s="1">
        <f t="shared" si="11"/>
        <v>0.66875000000000007</v>
      </c>
      <c r="J35" s="1">
        <v>9.17</v>
      </c>
      <c r="K35" s="1">
        <v>2</v>
      </c>
      <c r="M35" s="1">
        <v>83.14</v>
      </c>
      <c r="N35" s="1">
        <f t="shared" si="12"/>
        <v>1.0247750523850612</v>
      </c>
    </row>
    <row r="36" spans="1:14" ht="15.75" customHeight="1">
      <c r="A36" s="1">
        <v>2</v>
      </c>
      <c r="C36" s="1">
        <v>2</v>
      </c>
      <c r="D36" s="1">
        <v>1</v>
      </c>
      <c r="E36" s="1">
        <v>1</v>
      </c>
      <c r="F36" s="1">
        <v>8</v>
      </c>
      <c r="G36" s="1">
        <v>0.97</v>
      </c>
      <c r="H36" s="1">
        <f t="shared" si="0"/>
        <v>4.8499999999999996</v>
      </c>
      <c r="I36" s="1">
        <f t="shared" si="11"/>
        <v>0.60624999999999996</v>
      </c>
      <c r="J36" s="1">
        <v>9.17</v>
      </c>
      <c r="K36" s="1">
        <v>2</v>
      </c>
      <c r="M36" s="1">
        <v>75.430000000000007</v>
      </c>
      <c r="N36" s="1">
        <f t="shared" si="12"/>
        <v>0.92974238875878235</v>
      </c>
    </row>
    <row r="37" spans="1:14" ht="15.75" customHeight="1">
      <c r="A37" s="1">
        <v>0</v>
      </c>
      <c r="C37" s="1">
        <v>2</v>
      </c>
      <c r="D37" s="1">
        <v>2</v>
      </c>
      <c r="E37" s="1">
        <v>1</v>
      </c>
      <c r="F37" s="1">
        <v>8</v>
      </c>
      <c r="H37" s="1">
        <f t="shared" si="0"/>
        <v>0</v>
      </c>
      <c r="J37" s="1">
        <v>9.17</v>
      </c>
      <c r="K37" s="1">
        <v>2</v>
      </c>
      <c r="M37" s="1">
        <v>84.35</v>
      </c>
      <c r="N37" s="1">
        <f t="shared" ref="N37:N43" si="13">M37/$M$23</f>
        <v>0.91934604904632145</v>
      </c>
    </row>
    <row r="38" spans="1:14" ht="15.75" customHeight="1">
      <c r="A38" s="1">
        <v>0.43</v>
      </c>
      <c r="C38" s="1">
        <v>2</v>
      </c>
      <c r="D38" s="1">
        <v>2</v>
      </c>
      <c r="E38" s="1">
        <v>1</v>
      </c>
      <c r="F38" s="1">
        <v>8</v>
      </c>
      <c r="H38" s="1">
        <f t="shared" si="0"/>
        <v>0</v>
      </c>
      <c r="J38" s="1">
        <v>9.17</v>
      </c>
      <c r="K38" s="1">
        <v>2</v>
      </c>
      <c r="M38" s="1">
        <v>83.43</v>
      </c>
      <c r="N38" s="1">
        <f t="shared" si="13"/>
        <v>0.90931880108991836</v>
      </c>
    </row>
    <row r="39" spans="1:14" ht="15.75" customHeight="1">
      <c r="A39" s="1">
        <v>0.66</v>
      </c>
      <c r="C39" s="1">
        <v>2</v>
      </c>
      <c r="D39" s="1">
        <v>2</v>
      </c>
      <c r="E39" s="1">
        <v>1</v>
      </c>
      <c r="F39" s="1">
        <v>8</v>
      </c>
      <c r="H39" s="1">
        <f t="shared" si="0"/>
        <v>0</v>
      </c>
      <c r="J39" s="1">
        <v>9.17</v>
      </c>
      <c r="K39" s="1">
        <v>2</v>
      </c>
      <c r="M39" s="1">
        <v>80.709999999999994</v>
      </c>
      <c r="N39" s="1">
        <f t="shared" si="13"/>
        <v>0.87967302452316065</v>
      </c>
    </row>
    <row r="40" spans="1:14" ht="15.75" customHeight="1">
      <c r="A40" s="1">
        <v>1</v>
      </c>
      <c r="C40" s="1">
        <v>2</v>
      </c>
      <c r="D40" s="1">
        <v>2</v>
      </c>
      <c r="E40" s="1">
        <v>1</v>
      </c>
      <c r="F40" s="1">
        <v>8</v>
      </c>
      <c r="H40" s="1">
        <f t="shared" si="0"/>
        <v>0</v>
      </c>
      <c r="J40" s="1">
        <v>9.17</v>
      </c>
      <c r="K40" s="1">
        <v>2</v>
      </c>
      <c r="M40" s="1">
        <v>87.19</v>
      </c>
      <c r="N40" s="1">
        <f t="shared" si="13"/>
        <v>0.9502997275204359</v>
      </c>
    </row>
    <row r="41" spans="1:14" ht="15.75" customHeight="1">
      <c r="A41" s="1">
        <v>1.33</v>
      </c>
      <c r="C41" s="1">
        <v>2</v>
      </c>
      <c r="D41" s="1">
        <v>2</v>
      </c>
      <c r="E41" s="1">
        <v>1</v>
      </c>
      <c r="F41" s="1">
        <v>8</v>
      </c>
      <c r="H41" s="1">
        <f t="shared" si="0"/>
        <v>0</v>
      </c>
      <c r="J41" s="1">
        <v>9.17</v>
      </c>
      <c r="K41" s="1">
        <v>2</v>
      </c>
      <c r="M41" s="1">
        <v>76.84</v>
      </c>
      <c r="N41" s="1">
        <f t="shared" si="13"/>
        <v>0.83749318801089923</v>
      </c>
    </row>
    <row r="42" spans="1:14" ht="15.75" customHeight="1">
      <c r="A42" s="1">
        <v>1.76</v>
      </c>
      <c r="C42" s="1">
        <v>2</v>
      </c>
      <c r="D42" s="1">
        <v>2</v>
      </c>
      <c r="E42" s="1">
        <v>1</v>
      </c>
      <c r="F42" s="1">
        <v>8</v>
      </c>
      <c r="H42" s="1">
        <f t="shared" si="0"/>
        <v>0</v>
      </c>
      <c r="J42" s="1">
        <v>9.17</v>
      </c>
      <c r="K42" s="1">
        <v>2</v>
      </c>
      <c r="M42" s="1">
        <v>79.53</v>
      </c>
      <c r="N42" s="1">
        <f t="shared" si="13"/>
        <v>0.86681198910081747</v>
      </c>
    </row>
    <row r="43" spans="1:14" ht="15.75" customHeight="1">
      <c r="A43" s="1">
        <v>2</v>
      </c>
      <c r="C43" s="1">
        <v>2</v>
      </c>
      <c r="D43" s="1">
        <v>2</v>
      </c>
      <c r="E43" s="1">
        <v>1</v>
      </c>
      <c r="F43" s="1">
        <v>8</v>
      </c>
      <c r="H43" s="1">
        <f t="shared" si="0"/>
        <v>0</v>
      </c>
      <c r="J43" s="1">
        <v>9.17</v>
      </c>
      <c r="K43" s="1">
        <v>2</v>
      </c>
      <c r="M43" s="1">
        <v>75.430000000000007</v>
      </c>
      <c r="N43" s="1">
        <f t="shared" si="13"/>
        <v>0.82212534059945508</v>
      </c>
    </row>
    <row r="44" spans="1:14" ht="15.75" customHeight="1"/>
    <row r="45" spans="1:14" ht="15.75" customHeight="1"/>
    <row r="46" spans="1:14" ht="15.75" customHeight="1"/>
    <row r="47" spans="1:14" ht="15.75" customHeight="1"/>
    <row r="48" spans="1:1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zoomScale="55" zoomScaleNormal="55" workbookViewId="0">
      <selection sqref="A1:XFD1048576"/>
    </sheetView>
  </sheetViews>
  <sheetFormatPr baseColWidth="10" defaultColWidth="14.42578125" defaultRowHeight="15" customHeight="1"/>
  <cols>
    <col min="1" max="1" width="13" bestFit="1" customWidth="1"/>
    <col min="2" max="2" width="5" bestFit="1" customWidth="1"/>
    <col min="3" max="3" width="19.85546875" bestFit="1" customWidth="1"/>
    <col min="4" max="4" width="15.7109375" bestFit="1" customWidth="1"/>
    <col min="5" max="5" width="3.5703125" bestFit="1" customWidth="1"/>
    <col min="6" max="6" width="14.140625" bestFit="1" customWidth="1"/>
    <col min="7" max="7" width="26" bestFit="1" customWidth="1"/>
    <col min="8" max="8" width="18.28515625" bestFit="1" customWidth="1"/>
    <col min="9" max="9" width="16.5703125" bestFit="1" customWidth="1"/>
    <col min="10" max="10" width="12" bestFit="1" customWidth="1"/>
    <col min="11" max="11" width="22" bestFit="1" customWidth="1"/>
    <col min="12" max="12" width="21.42578125" bestFit="1" customWidth="1"/>
    <col min="13" max="13" width="12.7109375" bestFit="1" customWidth="1"/>
    <col min="14" max="14" width="20.7109375" bestFit="1" customWidth="1"/>
    <col min="15" max="15" width="12.85546875" bestFit="1" customWidth="1"/>
    <col min="16" max="16" width="21.85546875" bestFit="1" customWidth="1"/>
    <col min="17" max="17" width="13.85546875" bestFit="1" customWidth="1"/>
    <col min="18" max="26" width="8.7109375" customWidth="1"/>
  </cols>
  <sheetData>
    <row r="1" spans="1:26">
      <c r="A1" s="1" t="s">
        <v>0</v>
      </c>
      <c r="B1" s="1" t="s">
        <v>3</v>
      </c>
      <c r="C1" s="1" t="s">
        <v>16</v>
      </c>
      <c r="D1" s="1" t="s">
        <v>17</v>
      </c>
      <c r="E1" s="1" t="s">
        <v>10</v>
      </c>
      <c r="F1" s="1" t="s">
        <v>25</v>
      </c>
      <c r="G1" s="1" t="s">
        <v>19</v>
      </c>
      <c r="H1" s="1" t="s">
        <v>26</v>
      </c>
      <c r="I1" s="1" t="s">
        <v>7</v>
      </c>
      <c r="J1" s="1" t="s">
        <v>15</v>
      </c>
      <c r="K1" s="6" t="s">
        <v>4</v>
      </c>
      <c r="L1" s="7" t="s">
        <v>8</v>
      </c>
      <c r="M1" s="1" t="s">
        <v>9</v>
      </c>
      <c r="N1" s="8" t="s">
        <v>27</v>
      </c>
      <c r="O1" s="1" t="s">
        <v>24</v>
      </c>
      <c r="P1" s="9" t="s">
        <v>21</v>
      </c>
      <c r="Q1" s="1" t="s">
        <v>22</v>
      </c>
    </row>
    <row r="2" spans="1:26">
      <c r="A2" s="10">
        <v>0</v>
      </c>
      <c r="B2" s="1">
        <v>9.2899999999999991</v>
      </c>
      <c r="C2" s="11">
        <v>1</v>
      </c>
      <c r="D2" s="11">
        <v>1</v>
      </c>
      <c r="E2" s="11">
        <v>1</v>
      </c>
      <c r="F2" s="12">
        <v>10</v>
      </c>
      <c r="G2" s="1">
        <v>1.87</v>
      </c>
      <c r="H2" s="11">
        <v>5</v>
      </c>
      <c r="I2" s="11">
        <f>G2*'week8reox ph5&amp;8'!$H2</f>
        <v>9.3500000000000014</v>
      </c>
      <c r="J2" s="11">
        <f t="shared" ref="J2:J8" si="0">I2/$I$2</f>
        <v>1</v>
      </c>
      <c r="K2" s="13">
        <v>2</v>
      </c>
      <c r="L2" s="14">
        <v>94.348182616022896</v>
      </c>
      <c r="M2" s="15">
        <f t="shared" ref="M2:M8" si="1">L2/$L$2</f>
        <v>1</v>
      </c>
      <c r="N2" s="16">
        <v>117.25672369131</v>
      </c>
      <c r="O2" s="15">
        <f t="shared" ref="O2:O8" si="2">N2/$N$2</f>
        <v>1</v>
      </c>
      <c r="P2" s="17">
        <v>114.539135085948</v>
      </c>
      <c r="Q2" s="18">
        <f t="shared" ref="Q2:Q8" si="3">P2/$P$2</f>
        <v>1</v>
      </c>
    </row>
    <row r="3" spans="1:26">
      <c r="A3" s="19">
        <v>0.43</v>
      </c>
      <c r="B3" s="1">
        <v>9.2899999999999991</v>
      </c>
      <c r="C3" s="12">
        <v>1</v>
      </c>
      <c r="D3" s="12">
        <v>1</v>
      </c>
      <c r="E3" s="12">
        <v>1</v>
      </c>
      <c r="F3" s="12">
        <v>10</v>
      </c>
      <c r="G3" s="1">
        <v>1.66</v>
      </c>
      <c r="H3" s="11">
        <v>5</v>
      </c>
      <c r="I3" s="12">
        <f>G3*'week8reox ph5&amp;8'!$H3</f>
        <v>8.2999999999999989</v>
      </c>
      <c r="J3" s="12">
        <f t="shared" si="0"/>
        <v>0.88770053475935806</v>
      </c>
      <c r="K3" s="6">
        <v>2</v>
      </c>
      <c r="L3" s="20">
        <v>91.539163370462305</v>
      </c>
      <c r="M3" s="15">
        <f t="shared" si="1"/>
        <v>0.97022709746309899</v>
      </c>
      <c r="N3" s="21">
        <v>5.78555275703612</v>
      </c>
      <c r="O3" s="22">
        <f t="shared" si="2"/>
        <v>4.9340904085527444E-2</v>
      </c>
      <c r="P3" s="23">
        <v>92.545621673000397</v>
      </c>
      <c r="Q3" s="24">
        <f t="shared" si="3"/>
        <v>0.80798254329016816</v>
      </c>
    </row>
    <row r="4" spans="1:26">
      <c r="A4" s="19">
        <v>0.66</v>
      </c>
      <c r="B4" s="1">
        <v>9.2899999999999991</v>
      </c>
      <c r="C4" s="12">
        <v>1</v>
      </c>
      <c r="D4" s="12">
        <v>1</v>
      </c>
      <c r="E4" s="12">
        <v>1</v>
      </c>
      <c r="F4" s="12">
        <v>10</v>
      </c>
      <c r="G4" s="1">
        <v>1.55</v>
      </c>
      <c r="H4" s="11">
        <v>5</v>
      </c>
      <c r="I4" s="12">
        <f>G4*'week8reox ph5&amp;8'!$H4</f>
        <v>7.75</v>
      </c>
      <c r="J4" s="12">
        <f t="shared" si="0"/>
        <v>0.82887700534759345</v>
      </c>
      <c r="K4" s="6">
        <v>2</v>
      </c>
      <c r="L4" s="20">
        <v>90.241680455339804</v>
      </c>
      <c r="M4" s="15">
        <f t="shared" si="1"/>
        <v>0.95647502636700821</v>
      </c>
      <c r="N4" s="21">
        <v>0</v>
      </c>
      <c r="O4" s="22">
        <f t="shared" si="2"/>
        <v>0</v>
      </c>
      <c r="P4" s="23">
        <v>92.215961369088404</v>
      </c>
      <c r="Q4" s="24">
        <f t="shared" si="3"/>
        <v>0.80510439772302533</v>
      </c>
    </row>
    <row r="5" spans="1:26">
      <c r="A5" s="19">
        <v>1</v>
      </c>
      <c r="B5" s="1">
        <v>9.2899999999999991</v>
      </c>
      <c r="C5" s="12">
        <v>1</v>
      </c>
      <c r="D5" s="12">
        <v>1</v>
      </c>
      <c r="E5" s="12">
        <v>1</v>
      </c>
      <c r="F5" s="12">
        <v>10</v>
      </c>
      <c r="G5" s="1">
        <v>1.39</v>
      </c>
      <c r="H5" s="11">
        <v>5</v>
      </c>
      <c r="I5" s="12">
        <f>G5*'week8reox ph5&amp;8'!$H5</f>
        <v>6.9499999999999993</v>
      </c>
      <c r="J5" s="12">
        <f t="shared" si="0"/>
        <v>0.74331550802139024</v>
      </c>
      <c r="K5" s="6">
        <v>2</v>
      </c>
      <c r="L5" s="20">
        <v>82.9484304382662</v>
      </c>
      <c r="M5" s="15">
        <f t="shared" si="1"/>
        <v>0.87917359018825758</v>
      </c>
      <c r="N5" s="21">
        <v>0</v>
      </c>
      <c r="O5" s="22">
        <f t="shared" si="2"/>
        <v>0</v>
      </c>
      <c r="P5" s="23">
        <v>107.73639002368699</v>
      </c>
      <c r="Q5" s="24">
        <f t="shared" si="3"/>
        <v>0.94060767913817089</v>
      </c>
    </row>
    <row r="6" spans="1:26">
      <c r="A6" s="19">
        <v>1.33</v>
      </c>
      <c r="B6" s="1">
        <v>9.2899999999999991</v>
      </c>
      <c r="C6" s="12">
        <v>1</v>
      </c>
      <c r="D6" s="12">
        <v>1</v>
      </c>
      <c r="E6" s="12">
        <v>1</v>
      </c>
      <c r="F6" s="12">
        <v>10</v>
      </c>
      <c r="G6" s="1">
        <v>1.24</v>
      </c>
      <c r="H6" s="11">
        <v>5</v>
      </c>
      <c r="I6" s="12">
        <f>G6*'week8reox ph5&amp;8'!$H6</f>
        <v>6.2</v>
      </c>
      <c r="J6" s="12">
        <f t="shared" si="0"/>
        <v>0.66310160427807474</v>
      </c>
      <c r="K6" s="6">
        <v>2</v>
      </c>
      <c r="L6" s="20">
        <v>85.105975070320397</v>
      </c>
      <c r="M6" s="15">
        <f t="shared" si="1"/>
        <v>0.90204148835260212</v>
      </c>
      <c r="N6" s="21">
        <v>0</v>
      </c>
      <c r="O6" s="22">
        <f t="shared" si="2"/>
        <v>0</v>
      </c>
      <c r="P6" s="23">
        <v>84.88263558893</v>
      </c>
      <c r="Q6" s="24">
        <f t="shared" si="3"/>
        <v>0.74107976741081272</v>
      </c>
    </row>
    <row r="7" spans="1:26">
      <c r="A7" s="19">
        <v>1.76</v>
      </c>
      <c r="B7" s="1">
        <v>9.2899999999999991</v>
      </c>
      <c r="C7" s="12">
        <v>1</v>
      </c>
      <c r="D7" s="12">
        <v>1</v>
      </c>
      <c r="E7" s="12">
        <v>1</v>
      </c>
      <c r="F7" s="12">
        <v>10</v>
      </c>
      <c r="G7" s="1">
        <v>1.08</v>
      </c>
      <c r="H7" s="11">
        <v>5</v>
      </c>
      <c r="I7" s="12">
        <f>G7*'week8reox ph5&amp;8'!$H7</f>
        <v>5.4</v>
      </c>
      <c r="J7" s="12">
        <f t="shared" si="0"/>
        <v>0.57754010695187163</v>
      </c>
      <c r="K7" s="6">
        <v>2</v>
      </c>
      <c r="L7" s="20">
        <v>72.940537152706497</v>
      </c>
      <c r="M7" s="15">
        <f t="shared" si="1"/>
        <v>0.77309954606713538</v>
      </c>
      <c r="N7" s="21">
        <v>0</v>
      </c>
      <c r="O7" s="22">
        <f t="shared" si="2"/>
        <v>0</v>
      </c>
      <c r="P7" s="23">
        <v>85.075745423819598</v>
      </c>
      <c r="Q7" s="24">
        <f t="shared" si="3"/>
        <v>0.74276573993666328</v>
      </c>
    </row>
    <row r="8" spans="1:26">
      <c r="A8" s="19">
        <v>2</v>
      </c>
      <c r="B8" s="1">
        <v>9.2899999999999991</v>
      </c>
      <c r="C8" s="12">
        <v>1</v>
      </c>
      <c r="D8" s="12">
        <v>1</v>
      </c>
      <c r="E8" s="12">
        <v>1</v>
      </c>
      <c r="F8" s="12">
        <v>10</v>
      </c>
      <c r="G8" s="1">
        <v>0.9</v>
      </c>
      <c r="H8" s="11">
        <v>5</v>
      </c>
      <c r="I8" s="12">
        <f>G8*'week8reox ph5&amp;8'!$H8</f>
        <v>4.5</v>
      </c>
      <c r="J8" s="12">
        <f t="shared" si="0"/>
        <v>0.48128342245989297</v>
      </c>
      <c r="K8" s="6">
        <v>2</v>
      </c>
      <c r="L8" s="20">
        <v>85.621158222975595</v>
      </c>
      <c r="M8" s="15">
        <f t="shared" si="1"/>
        <v>0.9075019343131977</v>
      </c>
      <c r="N8" s="21">
        <v>0</v>
      </c>
      <c r="O8" s="22">
        <f t="shared" si="2"/>
        <v>0</v>
      </c>
      <c r="P8" s="23">
        <v>84.271794437563798</v>
      </c>
      <c r="Q8" s="24">
        <f t="shared" si="3"/>
        <v>0.73574673297757864</v>
      </c>
    </row>
    <row r="9" spans="1:26">
      <c r="A9" s="10">
        <v>0</v>
      </c>
      <c r="B9" s="1">
        <v>9.2899999999999991</v>
      </c>
      <c r="C9" s="11">
        <v>1</v>
      </c>
      <c r="D9" s="11">
        <v>2</v>
      </c>
      <c r="E9" s="11">
        <v>1</v>
      </c>
      <c r="F9" s="12">
        <v>10</v>
      </c>
      <c r="G9" s="1"/>
      <c r="H9" s="11">
        <v>5</v>
      </c>
      <c r="I9" s="11">
        <f>G9*'week8reox ph5&amp;8'!$H9</f>
        <v>0</v>
      </c>
      <c r="J9" s="11"/>
      <c r="K9" s="13">
        <v>2</v>
      </c>
      <c r="L9" s="14">
        <v>109.690641357579</v>
      </c>
      <c r="M9" s="15">
        <f t="shared" ref="M9:M15" si="4">L9/$L$9</f>
        <v>1</v>
      </c>
      <c r="N9" s="16">
        <v>104.926727897061</v>
      </c>
      <c r="O9" s="15">
        <f>N9/$N$9</f>
        <v>1</v>
      </c>
      <c r="P9" s="17">
        <v>93.533255933167894</v>
      </c>
      <c r="Q9" s="15">
        <f>P9/$P$9</f>
        <v>1</v>
      </c>
      <c r="R9" s="11"/>
      <c r="S9" s="11"/>
      <c r="T9" s="11"/>
      <c r="U9" s="11"/>
      <c r="V9" s="11"/>
      <c r="W9" s="11"/>
      <c r="X9" s="11"/>
      <c r="Y9" s="11"/>
      <c r="Z9" s="11"/>
    </row>
    <row r="10" spans="1:26">
      <c r="A10" s="19">
        <v>0.43</v>
      </c>
      <c r="B10" s="1">
        <v>9.2899999999999991</v>
      </c>
      <c r="C10" s="12">
        <v>1</v>
      </c>
      <c r="D10" s="12">
        <v>2</v>
      </c>
      <c r="E10" s="12">
        <v>1</v>
      </c>
      <c r="F10" s="12">
        <v>10</v>
      </c>
      <c r="G10" s="1"/>
      <c r="H10" s="11">
        <v>5</v>
      </c>
      <c r="I10" s="12">
        <f>G10*'week8reox ph5&amp;8'!$H10</f>
        <v>0</v>
      </c>
      <c r="J10" s="12"/>
      <c r="K10" s="6">
        <v>2</v>
      </c>
      <c r="L10" s="20">
        <v>83.897536965662695</v>
      </c>
      <c r="M10" s="15">
        <f t="shared" si="4"/>
        <v>0.76485592505714572</v>
      </c>
      <c r="N10" s="21">
        <v>5.46384476258131</v>
      </c>
      <c r="O10" s="22">
        <f t="shared" ref="O10:O15" si="5">N10/$N$10</f>
        <v>1</v>
      </c>
      <c r="P10" s="23">
        <v>94.182611319386595</v>
      </c>
      <c r="Q10" s="22">
        <f t="shared" ref="Q10:Q15" si="6">P10/$P$2</f>
        <v>0.82227451122896766</v>
      </c>
      <c r="R10" s="12"/>
      <c r="S10" s="12"/>
      <c r="T10" s="12"/>
      <c r="U10" s="12"/>
      <c r="V10" s="12"/>
      <c r="W10" s="12"/>
      <c r="X10" s="12"/>
      <c r="Y10" s="12"/>
      <c r="Z10" s="12"/>
    </row>
    <row r="11" spans="1:26">
      <c r="A11" s="19">
        <v>0.66</v>
      </c>
      <c r="B11" s="1">
        <v>9.2899999999999991</v>
      </c>
      <c r="C11" s="12">
        <v>1</v>
      </c>
      <c r="D11" s="12">
        <v>2</v>
      </c>
      <c r="E11" s="12">
        <v>1</v>
      </c>
      <c r="F11" s="12">
        <v>10</v>
      </c>
      <c r="G11" s="1"/>
      <c r="H11" s="11">
        <v>5</v>
      </c>
      <c r="I11" s="12">
        <f>G11*'week8reox ph5&amp;8'!$H11</f>
        <v>0</v>
      </c>
      <c r="J11" s="12"/>
      <c r="K11" s="6">
        <v>2</v>
      </c>
      <c r="L11" s="20">
        <v>92.127309546013905</v>
      </c>
      <c r="M11" s="15">
        <f t="shared" si="4"/>
        <v>0.8398830420335438</v>
      </c>
      <c r="N11" s="21">
        <v>0</v>
      </c>
      <c r="O11" s="22">
        <f t="shared" si="5"/>
        <v>0</v>
      </c>
      <c r="P11" s="23">
        <v>97.068754960497898</v>
      </c>
      <c r="Q11" s="22">
        <f t="shared" si="6"/>
        <v>0.84747239349816406</v>
      </c>
      <c r="R11" s="12"/>
      <c r="S11" s="12"/>
      <c r="T11" s="12"/>
      <c r="U11" s="12"/>
      <c r="V11" s="12"/>
      <c r="W11" s="12"/>
      <c r="X11" s="12"/>
      <c r="Y11" s="12"/>
      <c r="Z11" s="12"/>
    </row>
    <row r="12" spans="1:26">
      <c r="A12" s="19">
        <v>1</v>
      </c>
      <c r="B12" s="1">
        <v>9.2899999999999991</v>
      </c>
      <c r="C12" s="12">
        <v>1</v>
      </c>
      <c r="D12" s="12">
        <v>2</v>
      </c>
      <c r="E12" s="12">
        <v>1</v>
      </c>
      <c r="F12" s="12">
        <v>10</v>
      </c>
      <c r="G12" s="1"/>
      <c r="H12" s="11">
        <v>5</v>
      </c>
      <c r="I12" s="12">
        <f>G12*'week8reox ph5&amp;8'!$H12</f>
        <v>0</v>
      </c>
      <c r="J12" s="12"/>
      <c r="K12" s="6">
        <v>2</v>
      </c>
      <c r="L12" s="20">
        <v>84.176305611408495</v>
      </c>
      <c r="M12" s="15">
        <f t="shared" si="4"/>
        <v>0.76739733280438505</v>
      </c>
      <c r="N12" s="21">
        <v>0</v>
      </c>
      <c r="O12" s="22">
        <f t="shared" si="5"/>
        <v>0</v>
      </c>
      <c r="P12" s="23">
        <v>88.523442768898505</v>
      </c>
      <c r="Q12" s="22">
        <f t="shared" si="6"/>
        <v>0.77286634565969248</v>
      </c>
      <c r="R12" s="12"/>
      <c r="S12" s="12"/>
      <c r="T12" s="12"/>
      <c r="U12" s="12"/>
      <c r="V12" s="12"/>
      <c r="W12" s="12"/>
      <c r="X12" s="12"/>
      <c r="Y12" s="12"/>
      <c r="Z12" s="12"/>
    </row>
    <row r="13" spans="1:26">
      <c r="A13" s="19">
        <v>1.33</v>
      </c>
      <c r="B13" s="1">
        <v>9.2899999999999991</v>
      </c>
      <c r="C13" s="12">
        <v>1</v>
      </c>
      <c r="D13" s="12">
        <v>2</v>
      </c>
      <c r="E13" s="12">
        <v>1</v>
      </c>
      <c r="F13" s="12">
        <v>10</v>
      </c>
      <c r="G13" s="1"/>
      <c r="H13" s="11">
        <v>5</v>
      </c>
      <c r="I13" s="12">
        <f>G13*'week8reox ph5&amp;8'!$H13</f>
        <v>0</v>
      </c>
      <c r="J13" s="12"/>
      <c r="K13" s="6">
        <v>2</v>
      </c>
      <c r="L13" s="20">
        <v>69.1709642129359</v>
      </c>
      <c r="M13" s="15">
        <f t="shared" si="4"/>
        <v>0.63060041729035421</v>
      </c>
      <c r="N13" s="21">
        <v>0</v>
      </c>
      <c r="O13" s="22">
        <f t="shared" si="5"/>
        <v>0</v>
      </c>
      <c r="P13" s="23">
        <v>96.540328885109702</v>
      </c>
      <c r="Q13" s="22">
        <f t="shared" si="6"/>
        <v>0.84285889545671588</v>
      </c>
      <c r="R13" s="12"/>
      <c r="S13" s="12"/>
      <c r="T13" s="12"/>
      <c r="U13" s="12"/>
      <c r="V13" s="12"/>
      <c r="W13" s="12"/>
      <c r="X13" s="12"/>
      <c r="Y13" s="12"/>
      <c r="Z13" s="12"/>
    </row>
    <row r="14" spans="1:26">
      <c r="A14" s="19">
        <v>1.76</v>
      </c>
      <c r="B14" s="1">
        <v>9.2899999999999991</v>
      </c>
      <c r="C14" s="12">
        <v>1</v>
      </c>
      <c r="D14" s="12">
        <v>2</v>
      </c>
      <c r="E14" s="12">
        <v>1</v>
      </c>
      <c r="F14" s="12">
        <v>10</v>
      </c>
      <c r="G14" s="1"/>
      <c r="H14" s="11">
        <v>5</v>
      </c>
      <c r="I14" s="12">
        <f>G14*'week8reox ph5&amp;8'!$H14</f>
        <v>0</v>
      </c>
      <c r="J14" s="12"/>
      <c r="K14" s="6">
        <v>2</v>
      </c>
      <c r="L14" s="20">
        <v>91.6802999119502</v>
      </c>
      <c r="M14" s="15">
        <f t="shared" si="4"/>
        <v>0.83580785723626927</v>
      </c>
      <c r="N14" s="21">
        <v>0</v>
      </c>
      <c r="O14" s="22">
        <f t="shared" si="5"/>
        <v>0</v>
      </c>
      <c r="P14" s="23">
        <v>85.295518959760898</v>
      </c>
      <c r="Q14" s="22">
        <f t="shared" si="6"/>
        <v>0.74468450364809158</v>
      </c>
      <c r="R14" s="12"/>
      <c r="S14" s="12"/>
      <c r="T14" s="12"/>
      <c r="U14" s="12"/>
      <c r="V14" s="12"/>
      <c r="W14" s="12"/>
      <c r="X14" s="12"/>
      <c r="Y14" s="12"/>
      <c r="Z14" s="12"/>
    </row>
    <row r="15" spans="1:26">
      <c r="A15" s="25">
        <v>2</v>
      </c>
      <c r="B15" s="1">
        <v>9.2899999999999991</v>
      </c>
      <c r="C15" s="26">
        <v>1</v>
      </c>
      <c r="D15" s="26">
        <v>2</v>
      </c>
      <c r="E15" s="26">
        <v>1</v>
      </c>
      <c r="F15" s="12">
        <v>10</v>
      </c>
      <c r="G15" s="1"/>
      <c r="H15" s="11">
        <v>5</v>
      </c>
      <c r="I15" s="26">
        <f>G15*'week8reox ph5&amp;8'!$H15</f>
        <v>0</v>
      </c>
      <c r="J15" s="26"/>
      <c r="K15" s="27">
        <v>2</v>
      </c>
      <c r="L15" s="28">
        <v>62.878324708361603</v>
      </c>
      <c r="M15" s="15">
        <f t="shared" si="4"/>
        <v>0.57323326703310473</v>
      </c>
      <c r="N15" s="29">
        <v>0</v>
      </c>
      <c r="O15" s="30">
        <f t="shared" si="5"/>
        <v>0</v>
      </c>
      <c r="P15" s="31">
        <v>86.867061339929293</v>
      </c>
      <c r="Q15" s="30">
        <f t="shared" si="6"/>
        <v>0.75840507504047316</v>
      </c>
      <c r="R15" s="26"/>
      <c r="S15" s="26"/>
      <c r="T15" s="26"/>
      <c r="U15" s="26"/>
      <c r="V15" s="26"/>
      <c r="W15" s="26"/>
      <c r="X15" s="26"/>
      <c r="Y15" s="26"/>
      <c r="Z15" s="26"/>
    </row>
    <row r="16" spans="1:26">
      <c r="A16" s="10">
        <v>0</v>
      </c>
      <c r="B16" s="1">
        <v>9.27</v>
      </c>
      <c r="C16" s="11">
        <v>2</v>
      </c>
      <c r="D16" s="11">
        <v>1</v>
      </c>
      <c r="E16" s="11">
        <v>1</v>
      </c>
      <c r="F16" s="12">
        <v>10</v>
      </c>
      <c r="G16" s="1">
        <v>1.77</v>
      </c>
      <c r="H16" s="11">
        <v>5</v>
      </c>
      <c r="I16" s="11">
        <f>G16*'week8reox ph5&amp;8'!$H16</f>
        <v>8.85</v>
      </c>
      <c r="J16" s="11">
        <f t="shared" ref="J16:J22" si="7">I16/$I$16</f>
        <v>1</v>
      </c>
      <c r="K16" s="13">
        <v>2</v>
      </c>
      <c r="L16" s="14">
        <v>95.401634393835494</v>
      </c>
      <c r="M16" s="15">
        <f t="shared" ref="M16:M22" si="8">L16/$L$16</f>
        <v>1</v>
      </c>
      <c r="N16" s="16">
        <v>73.156554555762497</v>
      </c>
      <c r="O16" s="15">
        <f t="shared" ref="O16:O22" si="9">N16/$N$16</f>
        <v>1</v>
      </c>
      <c r="P16" s="17">
        <v>96.381154669740397</v>
      </c>
      <c r="Q16" s="15">
        <f t="shared" ref="Q16:Q22" si="10">P16/$P$16</f>
        <v>1</v>
      </c>
      <c r="R16" s="11"/>
      <c r="S16" s="11"/>
      <c r="T16" s="11"/>
      <c r="U16" s="11"/>
      <c r="V16" s="11"/>
      <c r="W16" s="11"/>
      <c r="X16" s="11"/>
      <c r="Y16" s="11"/>
      <c r="Z16" s="11"/>
    </row>
    <row r="17" spans="1:26">
      <c r="A17" s="19">
        <v>0.43</v>
      </c>
      <c r="B17" s="1">
        <v>9.27</v>
      </c>
      <c r="C17" s="12">
        <v>2</v>
      </c>
      <c r="D17" s="12">
        <v>1</v>
      </c>
      <c r="E17" s="12">
        <v>1</v>
      </c>
      <c r="F17" s="12">
        <v>10</v>
      </c>
      <c r="G17" s="1">
        <v>1.61</v>
      </c>
      <c r="H17" s="11">
        <v>5</v>
      </c>
      <c r="I17" s="12">
        <f>G17*'week8reox ph5&amp;8'!$H17</f>
        <v>8.0500000000000007</v>
      </c>
      <c r="J17" s="12">
        <f t="shared" si="7"/>
        <v>0.90960451977401147</v>
      </c>
      <c r="K17" s="6">
        <v>2</v>
      </c>
      <c r="L17" s="20">
        <v>94.995290486732003</v>
      </c>
      <c r="M17" s="15">
        <f t="shared" si="8"/>
        <v>0.99574070287490013</v>
      </c>
      <c r="N17" s="21">
        <v>78.461916898497904</v>
      </c>
      <c r="O17" s="22">
        <f t="shared" si="9"/>
        <v>1.0725206698832634</v>
      </c>
      <c r="P17" s="23">
        <v>101.967604035542</v>
      </c>
      <c r="Q17" s="22">
        <f t="shared" si="10"/>
        <v>1.0579620506202081</v>
      </c>
      <c r="R17" s="12"/>
      <c r="S17" s="12"/>
      <c r="T17" s="12"/>
      <c r="U17" s="12"/>
      <c r="V17" s="12"/>
      <c r="W17" s="12"/>
      <c r="X17" s="12"/>
      <c r="Y17" s="12"/>
      <c r="Z17" s="12"/>
    </row>
    <row r="18" spans="1:26">
      <c r="A18" s="19">
        <v>0.66</v>
      </c>
      <c r="B18" s="1">
        <v>9.27</v>
      </c>
      <c r="C18" s="12">
        <v>2</v>
      </c>
      <c r="D18" s="12">
        <v>1</v>
      </c>
      <c r="E18" s="12">
        <v>1</v>
      </c>
      <c r="F18" s="12">
        <v>10</v>
      </c>
      <c r="G18" s="1">
        <v>1.46</v>
      </c>
      <c r="H18" s="11">
        <v>5</v>
      </c>
      <c r="I18" s="12">
        <f>G18*'week8reox ph5&amp;8'!$H18</f>
        <v>7.3</v>
      </c>
      <c r="J18" s="12">
        <f t="shared" si="7"/>
        <v>0.82485875706214695</v>
      </c>
      <c r="K18" s="6">
        <v>2</v>
      </c>
      <c r="L18" s="20">
        <v>87.624614798297898</v>
      </c>
      <c r="M18" s="15">
        <f t="shared" si="8"/>
        <v>0.91848127503316523</v>
      </c>
      <c r="N18" s="21">
        <v>0</v>
      </c>
      <c r="O18" s="22">
        <f t="shared" si="9"/>
        <v>0</v>
      </c>
      <c r="P18" s="23">
        <v>94.994642215051996</v>
      </c>
      <c r="Q18" s="22">
        <f t="shared" si="10"/>
        <v>0.98561427844022598</v>
      </c>
      <c r="R18" s="12"/>
      <c r="S18" s="12"/>
      <c r="T18" s="12"/>
      <c r="U18" s="12"/>
      <c r="V18" s="12"/>
      <c r="W18" s="12"/>
      <c r="X18" s="12"/>
      <c r="Y18" s="12"/>
      <c r="Z18" s="12"/>
    </row>
    <row r="19" spans="1:26">
      <c r="A19" s="19">
        <v>1</v>
      </c>
      <c r="B19" s="1">
        <v>9.27</v>
      </c>
      <c r="C19" s="12">
        <v>2</v>
      </c>
      <c r="D19" s="12">
        <v>1</v>
      </c>
      <c r="E19" s="12">
        <v>1</v>
      </c>
      <c r="F19" s="12">
        <v>10</v>
      </c>
      <c r="G19" s="1">
        <v>1.32</v>
      </c>
      <c r="H19" s="11">
        <v>5</v>
      </c>
      <c r="I19" s="12">
        <f>G19*'week8reox ph5&amp;8'!$H19</f>
        <v>6.6000000000000005</v>
      </c>
      <c r="J19" s="12">
        <f t="shared" si="7"/>
        <v>0.7457627118644069</v>
      </c>
      <c r="K19" s="6">
        <v>2</v>
      </c>
      <c r="L19" s="20">
        <v>84.262051996477695</v>
      </c>
      <c r="M19" s="15">
        <f t="shared" si="8"/>
        <v>0.8832348893377282</v>
      </c>
      <c r="N19" s="21">
        <v>0</v>
      </c>
      <c r="O19" s="22">
        <f t="shared" si="9"/>
        <v>0</v>
      </c>
      <c r="P19" s="23">
        <v>96.331867222341799</v>
      </c>
      <c r="Q19" s="22">
        <f t="shared" si="10"/>
        <v>0.99948861945504297</v>
      </c>
      <c r="R19" s="12"/>
      <c r="S19" s="12"/>
      <c r="T19" s="12"/>
      <c r="U19" s="12"/>
      <c r="V19" s="12"/>
      <c r="W19" s="12"/>
      <c r="X19" s="12"/>
      <c r="Y19" s="12"/>
      <c r="Z19" s="12"/>
    </row>
    <row r="20" spans="1:26">
      <c r="A20" s="19">
        <v>1.33</v>
      </c>
      <c r="B20" s="1">
        <v>9.27</v>
      </c>
      <c r="C20" s="12">
        <v>2</v>
      </c>
      <c r="D20" s="12">
        <v>1</v>
      </c>
      <c r="E20" s="12">
        <v>1</v>
      </c>
      <c r="F20" s="12">
        <v>10</v>
      </c>
      <c r="G20" s="1">
        <v>1.17</v>
      </c>
      <c r="H20" s="11">
        <v>5</v>
      </c>
      <c r="I20" s="12">
        <f>G20*'week8reox ph5&amp;8'!$H20</f>
        <v>5.85</v>
      </c>
      <c r="J20" s="12">
        <f t="shared" si="7"/>
        <v>0.66101694915254239</v>
      </c>
      <c r="K20" s="6">
        <v>2</v>
      </c>
      <c r="L20" s="20">
        <v>74.427769922781906</v>
      </c>
      <c r="M20" s="15">
        <f t="shared" si="8"/>
        <v>0.78015193760235158</v>
      </c>
      <c r="N20" s="21">
        <v>0</v>
      </c>
      <c r="O20" s="22">
        <f t="shared" si="9"/>
        <v>0</v>
      </c>
      <c r="P20" s="23">
        <v>93.660649171526103</v>
      </c>
      <c r="Q20" s="22">
        <f t="shared" si="10"/>
        <v>0.97177347057589858</v>
      </c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customHeight="1">
      <c r="A21" s="19">
        <v>1.76</v>
      </c>
      <c r="B21" s="1">
        <v>9.27</v>
      </c>
      <c r="C21" s="12">
        <v>2</v>
      </c>
      <c r="D21" s="12">
        <v>1</v>
      </c>
      <c r="E21" s="12">
        <v>1</v>
      </c>
      <c r="F21" s="12">
        <v>10</v>
      </c>
      <c r="G21" s="1">
        <v>1.05</v>
      </c>
      <c r="H21" s="11">
        <v>5</v>
      </c>
      <c r="I21" s="12">
        <f>G21*'week8reox ph5&amp;8'!$H21</f>
        <v>5.25</v>
      </c>
      <c r="J21" s="12">
        <f t="shared" si="7"/>
        <v>0.59322033898305082</v>
      </c>
      <c r="K21" s="6">
        <v>2</v>
      </c>
      <c r="L21" s="20">
        <v>78.872081228135798</v>
      </c>
      <c r="M21" s="15">
        <f t="shared" si="8"/>
        <v>0.82673721188609139</v>
      </c>
      <c r="N21" s="21">
        <v>0</v>
      </c>
      <c r="O21" s="22">
        <f t="shared" si="9"/>
        <v>0</v>
      </c>
      <c r="P21" s="23">
        <v>89.782292654915096</v>
      </c>
      <c r="Q21" s="22">
        <f t="shared" si="10"/>
        <v>0.93153368998911712</v>
      </c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>
      <c r="A22" s="25">
        <v>2</v>
      </c>
      <c r="B22" s="1">
        <v>9.27</v>
      </c>
      <c r="C22" s="26">
        <v>2</v>
      </c>
      <c r="D22" s="26">
        <v>1</v>
      </c>
      <c r="E22" s="26">
        <v>1</v>
      </c>
      <c r="F22" s="12">
        <v>10</v>
      </c>
      <c r="G22" s="1">
        <v>0.87</v>
      </c>
      <c r="H22" s="11">
        <v>5</v>
      </c>
      <c r="I22" s="26">
        <f>G22*'week8reox ph5&amp;8'!$H22</f>
        <v>4.3499999999999996</v>
      </c>
      <c r="J22" s="26">
        <f t="shared" si="7"/>
        <v>0.49152542372881353</v>
      </c>
      <c r="K22" s="27">
        <v>2</v>
      </c>
      <c r="L22" s="28">
        <v>66.478374549249693</v>
      </c>
      <c r="M22" s="15">
        <f t="shared" si="8"/>
        <v>0.69682636960719913</v>
      </c>
      <c r="N22" s="29">
        <v>0</v>
      </c>
      <c r="O22" s="30">
        <f t="shared" si="9"/>
        <v>0</v>
      </c>
      <c r="P22" s="31">
        <v>93.046576056396006</v>
      </c>
      <c r="Q22" s="30">
        <f t="shared" si="10"/>
        <v>0.96540217198299128</v>
      </c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>
      <c r="A23" s="10">
        <v>0</v>
      </c>
      <c r="B23" s="1">
        <v>9.27</v>
      </c>
      <c r="C23" s="11">
        <v>2</v>
      </c>
      <c r="D23" s="11">
        <v>2</v>
      </c>
      <c r="E23" s="11">
        <v>1</v>
      </c>
      <c r="F23" s="12">
        <v>10</v>
      </c>
      <c r="G23" s="1"/>
      <c r="H23" s="11">
        <v>5</v>
      </c>
      <c r="I23" s="11">
        <f>G23*'week8reox ph5&amp;8'!$H23</f>
        <v>0</v>
      </c>
      <c r="J23" s="11"/>
      <c r="K23" s="13">
        <v>2</v>
      </c>
      <c r="L23" s="14">
        <v>95.230703888555496</v>
      </c>
      <c r="M23" s="15">
        <f t="shared" ref="M23:M29" si="11">L23/$L$23</f>
        <v>1</v>
      </c>
      <c r="N23" s="16">
        <v>78.461916898497904</v>
      </c>
      <c r="O23" s="15">
        <f t="shared" ref="O23:O29" si="12">N23/$N$23</f>
        <v>1</v>
      </c>
      <c r="P23" s="17">
        <v>102.826498405783</v>
      </c>
      <c r="Q23" s="15">
        <f t="shared" ref="Q23:Q29" si="13">P23/$P$23</f>
        <v>1</v>
      </c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5.75" customHeight="1">
      <c r="A24" s="19">
        <v>0.43</v>
      </c>
      <c r="B24" s="1">
        <v>9.27</v>
      </c>
      <c r="C24" s="12">
        <v>2</v>
      </c>
      <c r="D24" s="12">
        <v>2</v>
      </c>
      <c r="E24" s="12">
        <v>1</v>
      </c>
      <c r="F24" s="12">
        <v>10</v>
      </c>
      <c r="G24" s="1"/>
      <c r="H24" s="11">
        <v>5</v>
      </c>
      <c r="I24" s="12">
        <f>G24*'week8reox ph5&amp;8'!$H24</f>
        <v>0</v>
      </c>
      <c r="J24" s="12"/>
      <c r="K24" s="6">
        <v>2</v>
      </c>
      <c r="L24" s="20">
        <v>81.997058516655201</v>
      </c>
      <c r="M24" s="15">
        <f t="shared" si="11"/>
        <v>0.86103593870956707</v>
      </c>
      <c r="N24" s="21">
        <v>0</v>
      </c>
      <c r="O24" s="22">
        <f t="shared" si="12"/>
        <v>0</v>
      </c>
      <c r="P24" s="23">
        <v>98.805935483563204</v>
      </c>
      <c r="Q24" s="22">
        <f t="shared" si="13"/>
        <v>0.96089954452836179</v>
      </c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customHeight="1">
      <c r="A25" s="19">
        <v>0.66</v>
      </c>
      <c r="B25" s="1">
        <v>9.27</v>
      </c>
      <c r="C25" s="12">
        <v>2</v>
      </c>
      <c r="D25" s="12">
        <v>2</v>
      </c>
      <c r="E25" s="12">
        <v>1</v>
      </c>
      <c r="F25" s="12">
        <v>10</v>
      </c>
      <c r="G25" s="1"/>
      <c r="H25" s="11">
        <v>5</v>
      </c>
      <c r="I25" s="12">
        <f>G25*'week8reox ph5&amp;8'!$H25</f>
        <v>0</v>
      </c>
      <c r="J25" s="12"/>
      <c r="K25" s="6">
        <v>2</v>
      </c>
      <c r="L25" s="20">
        <v>81.477032080401699</v>
      </c>
      <c r="M25" s="15">
        <f t="shared" si="11"/>
        <v>0.85557523732840257</v>
      </c>
      <c r="N25" s="21">
        <v>0</v>
      </c>
      <c r="O25" s="22">
        <f t="shared" si="12"/>
        <v>0</v>
      </c>
      <c r="P25" s="23">
        <v>97.784634934189</v>
      </c>
      <c r="Q25" s="22">
        <f t="shared" si="13"/>
        <v>0.95096727448894203</v>
      </c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75" customHeight="1">
      <c r="A26" s="19">
        <v>1</v>
      </c>
      <c r="B26" s="1">
        <v>9.27</v>
      </c>
      <c r="C26" s="12">
        <v>2</v>
      </c>
      <c r="D26" s="12">
        <v>2</v>
      </c>
      <c r="E26" s="12">
        <v>1</v>
      </c>
      <c r="F26" s="12">
        <v>10</v>
      </c>
      <c r="G26" s="1"/>
      <c r="H26" s="11">
        <v>5</v>
      </c>
      <c r="I26" s="12">
        <f>G26*'week8reox ph5&amp;8'!$H26</f>
        <v>0</v>
      </c>
      <c r="J26" s="12"/>
      <c r="K26" s="6">
        <v>2</v>
      </c>
      <c r="L26" s="20">
        <v>82.429250754772994</v>
      </c>
      <c r="M26" s="15">
        <f t="shared" si="11"/>
        <v>0.86557430942898939</v>
      </c>
      <c r="N26" s="21">
        <v>0</v>
      </c>
      <c r="O26" s="22">
        <f t="shared" si="12"/>
        <v>0</v>
      </c>
      <c r="P26" s="23">
        <v>99.652709989689896</v>
      </c>
      <c r="Q26" s="22">
        <f t="shared" si="13"/>
        <v>0.9691345279154755</v>
      </c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75" customHeight="1">
      <c r="A27" s="19">
        <v>1.33</v>
      </c>
      <c r="B27" s="1">
        <v>9.27</v>
      </c>
      <c r="C27" s="12">
        <v>2</v>
      </c>
      <c r="D27" s="12">
        <v>2</v>
      </c>
      <c r="E27" s="12">
        <v>1</v>
      </c>
      <c r="F27" s="12">
        <v>10</v>
      </c>
      <c r="G27" s="1"/>
      <c r="H27" s="11">
        <v>5</v>
      </c>
      <c r="I27" s="12">
        <f>G27*'week8reox ph5&amp;8'!$H27</f>
        <v>0</v>
      </c>
      <c r="J27" s="12"/>
      <c r="K27" s="6">
        <v>2</v>
      </c>
      <c r="L27" s="20">
        <v>72.451428813687698</v>
      </c>
      <c r="M27" s="15">
        <f t="shared" si="11"/>
        <v>0.76079904752646343</v>
      </c>
      <c r="N27" s="21">
        <v>0</v>
      </c>
      <c r="O27" s="22">
        <f t="shared" si="12"/>
        <v>0</v>
      </c>
      <c r="P27" s="23">
        <v>115.481252523108</v>
      </c>
      <c r="Q27" s="22">
        <f t="shared" si="13"/>
        <v>1.1230689979093296</v>
      </c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customHeight="1">
      <c r="A28" s="19">
        <v>1.76</v>
      </c>
      <c r="B28" s="1">
        <v>9.27</v>
      </c>
      <c r="C28" s="12">
        <v>2</v>
      </c>
      <c r="D28" s="12">
        <v>2</v>
      </c>
      <c r="E28" s="12">
        <v>1</v>
      </c>
      <c r="F28" s="12">
        <v>10</v>
      </c>
      <c r="G28" s="1"/>
      <c r="H28" s="11">
        <v>5</v>
      </c>
      <c r="I28" s="12">
        <f>G28*'week8reox ph5&amp;8'!$H28</f>
        <v>0</v>
      </c>
      <c r="J28" s="12"/>
      <c r="K28" s="6">
        <v>2</v>
      </c>
      <c r="L28" s="20">
        <v>73.713190355934401</v>
      </c>
      <c r="M28" s="15">
        <f t="shared" si="11"/>
        <v>0.77404857200465371</v>
      </c>
      <c r="N28" s="21">
        <v>0</v>
      </c>
      <c r="O28" s="22">
        <f t="shared" si="12"/>
        <v>0</v>
      </c>
      <c r="P28" s="23">
        <v>94.720733286066306</v>
      </c>
      <c r="Q28" s="22">
        <f t="shared" si="13"/>
        <v>0.92117046437068184</v>
      </c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.75" customHeight="1">
      <c r="A29" s="25">
        <v>2</v>
      </c>
      <c r="B29" s="1">
        <v>9.27</v>
      </c>
      <c r="C29" s="26">
        <v>2</v>
      </c>
      <c r="D29" s="26">
        <v>2</v>
      </c>
      <c r="E29" s="26">
        <v>1</v>
      </c>
      <c r="F29" s="12">
        <v>10</v>
      </c>
      <c r="G29" s="1"/>
      <c r="H29" s="11">
        <v>5</v>
      </c>
      <c r="I29" s="26">
        <f>G29*'week8reox ph5&amp;8'!$H29</f>
        <v>0</v>
      </c>
      <c r="J29" s="26"/>
      <c r="K29" s="27">
        <v>2</v>
      </c>
      <c r="L29" s="28">
        <v>67.528179693439299</v>
      </c>
      <c r="M29" s="15">
        <f t="shared" si="11"/>
        <v>0.70910091951504106</v>
      </c>
      <c r="N29" s="29">
        <v>0</v>
      </c>
      <c r="O29" s="30">
        <f t="shared" si="12"/>
        <v>0</v>
      </c>
      <c r="P29" s="31">
        <v>89.600494693198996</v>
      </c>
      <c r="Q29" s="30">
        <f t="shared" si="13"/>
        <v>0.87137553142780011</v>
      </c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5.75" customHeight="1" thickBot="1">
      <c r="A30" s="10">
        <v>0</v>
      </c>
      <c r="B30" s="1">
        <v>5.54</v>
      </c>
      <c r="C30" s="11">
        <v>1</v>
      </c>
      <c r="D30" s="11">
        <v>1</v>
      </c>
      <c r="E30" s="11">
        <v>1</v>
      </c>
      <c r="F30" s="12">
        <v>10</v>
      </c>
      <c r="G30" s="1">
        <v>1.69</v>
      </c>
      <c r="H30" s="11">
        <v>5</v>
      </c>
      <c r="I30" s="11">
        <f>G30*'week8reox ph5&amp;8'!$H30</f>
        <v>8.4499999999999993</v>
      </c>
      <c r="J30" s="11">
        <f t="shared" ref="J30:J36" si="14">I30/$I$30</f>
        <v>1</v>
      </c>
      <c r="K30" s="13">
        <v>2</v>
      </c>
      <c r="L30" s="14">
        <v>90.048524913221598</v>
      </c>
      <c r="M30" s="30">
        <f t="shared" ref="M30:M36" si="15">L30/$L$30</f>
        <v>1</v>
      </c>
      <c r="N30" s="16">
        <v>91.3003264851598</v>
      </c>
      <c r="O30" s="15">
        <f t="shared" ref="O30:O36" si="16">N30/$N$30</f>
        <v>1</v>
      </c>
      <c r="P30" s="17">
        <v>106.430138002468</v>
      </c>
      <c r="Q30" s="15">
        <f t="shared" ref="Q30:Q36" si="17">P30/$P$30</f>
        <v>1</v>
      </c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.75" customHeight="1" thickBot="1">
      <c r="A31" s="19">
        <v>0.43</v>
      </c>
      <c r="B31" s="1">
        <v>5.54</v>
      </c>
      <c r="C31" s="12">
        <v>1</v>
      </c>
      <c r="D31" s="12">
        <v>1</v>
      </c>
      <c r="E31" s="12">
        <v>1</v>
      </c>
      <c r="F31" s="12">
        <v>10</v>
      </c>
      <c r="G31" s="1">
        <v>1.59</v>
      </c>
      <c r="H31" s="11">
        <v>5</v>
      </c>
      <c r="I31" s="12">
        <f>G31*'week8reox ph5&amp;8'!$H31</f>
        <v>7.95</v>
      </c>
      <c r="J31" s="12">
        <f t="shared" si="14"/>
        <v>0.94082840236686405</v>
      </c>
      <c r="K31" s="6">
        <v>2</v>
      </c>
      <c r="L31" s="20">
        <v>60.079863748048602</v>
      </c>
      <c r="M31" s="30">
        <f t="shared" si="15"/>
        <v>0.66719431335434598</v>
      </c>
      <c r="N31" s="21">
        <v>0</v>
      </c>
      <c r="O31" s="22">
        <f t="shared" si="16"/>
        <v>0</v>
      </c>
      <c r="P31" s="23">
        <v>72.801555039687003</v>
      </c>
      <c r="Q31" s="15">
        <f t="shared" si="17"/>
        <v>0.68403138815810627</v>
      </c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75" customHeight="1" thickBot="1">
      <c r="A32" s="19">
        <v>0.66</v>
      </c>
      <c r="B32" s="1">
        <v>5.54</v>
      </c>
      <c r="C32" s="12">
        <v>1</v>
      </c>
      <c r="D32" s="12">
        <v>1</v>
      </c>
      <c r="E32" s="12">
        <v>1</v>
      </c>
      <c r="F32" s="12">
        <v>10</v>
      </c>
      <c r="G32" s="1">
        <v>1.45</v>
      </c>
      <c r="H32" s="11">
        <v>5</v>
      </c>
      <c r="I32" s="12">
        <f>G32*'week8reox ph5&amp;8'!$H32</f>
        <v>7.25</v>
      </c>
      <c r="J32" s="12">
        <f t="shared" si="14"/>
        <v>0.85798816568047342</v>
      </c>
      <c r="K32" s="6">
        <v>2</v>
      </c>
      <c r="L32" s="20">
        <v>26.777057465051598</v>
      </c>
      <c r="M32" s="30">
        <f t="shared" si="15"/>
        <v>0.29736253304378102</v>
      </c>
      <c r="N32" s="21">
        <v>0</v>
      </c>
      <c r="O32" s="22">
        <f t="shared" si="16"/>
        <v>0</v>
      </c>
      <c r="P32" s="23">
        <v>50.475149359063401</v>
      </c>
      <c r="Q32" s="15">
        <f t="shared" si="17"/>
        <v>0.4742561675330435</v>
      </c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.75" customHeight="1" thickBot="1">
      <c r="A33" s="19">
        <v>1</v>
      </c>
      <c r="B33" s="1">
        <v>5.54</v>
      </c>
      <c r="C33" s="12">
        <v>1</v>
      </c>
      <c r="D33" s="12">
        <v>1</v>
      </c>
      <c r="E33" s="12">
        <v>1</v>
      </c>
      <c r="F33" s="12">
        <v>10</v>
      </c>
      <c r="G33" s="1">
        <v>1.29</v>
      </c>
      <c r="H33" s="11">
        <v>5</v>
      </c>
      <c r="I33" s="12">
        <f>G33*'week8reox ph5&amp;8'!$H33</f>
        <v>6.45</v>
      </c>
      <c r="J33" s="12">
        <f t="shared" si="14"/>
        <v>0.76331360946745574</v>
      </c>
      <c r="K33" s="6">
        <v>2</v>
      </c>
      <c r="L33" s="20">
        <v>14.342791486123501</v>
      </c>
      <c r="M33" s="30">
        <f t="shared" si="15"/>
        <v>0.15927847235638154</v>
      </c>
      <c r="N33" s="21">
        <v>0</v>
      </c>
      <c r="O33" s="22">
        <f t="shared" si="16"/>
        <v>0</v>
      </c>
      <c r="P33" s="23">
        <v>33.911873729998298</v>
      </c>
      <c r="Q33" s="15">
        <f t="shared" si="17"/>
        <v>0.31863036510590559</v>
      </c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75" customHeight="1" thickBot="1">
      <c r="A34" s="19">
        <v>1.33</v>
      </c>
      <c r="B34" s="1">
        <v>5.54</v>
      </c>
      <c r="C34" s="12">
        <v>1</v>
      </c>
      <c r="D34" s="12">
        <v>1</v>
      </c>
      <c r="E34" s="12">
        <v>1</v>
      </c>
      <c r="F34" s="12">
        <v>10</v>
      </c>
      <c r="G34" s="1">
        <v>1.17</v>
      </c>
      <c r="H34" s="11">
        <v>5</v>
      </c>
      <c r="I34" s="12">
        <f>G34*'week8reox ph5&amp;8'!$H34</f>
        <v>5.85</v>
      </c>
      <c r="J34" s="12">
        <f t="shared" si="14"/>
        <v>0.69230769230769229</v>
      </c>
      <c r="K34" s="6">
        <v>2</v>
      </c>
      <c r="L34" s="20">
        <v>7.0846349279445802</v>
      </c>
      <c r="M34" s="30">
        <f t="shared" si="15"/>
        <v>7.8675746601867561E-2</v>
      </c>
      <c r="N34" s="21">
        <v>0</v>
      </c>
      <c r="O34" s="22">
        <f t="shared" si="16"/>
        <v>0</v>
      </c>
      <c r="P34" s="23">
        <v>17.392768272372201</v>
      </c>
      <c r="Q34" s="15">
        <f t="shared" si="17"/>
        <v>0.16341957831501527</v>
      </c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.75" customHeight="1" thickBot="1">
      <c r="A35" s="19">
        <v>1.76</v>
      </c>
      <c r="B35" s="1">
        <v>5.54</v>
      </c>
      <c r="C35" s="12">
        <v>1</v>
      </c>
      <c r="D35" s="12">
        <v>1</v>
      </c>
      <c r="E35" s="12">
        <v>1</v>
      </c>
      <c r="F35" s="12">
        <v>10</v>
      </c>
      <c r="G35" s="1">
        <v>0.99</v>
      </c>
      <c r="H35" s="11">
        <v>5</v>
      </c>
      <c r="I35" s="12">
        <f>G35*'week8reox ph5&amp;8'!$H35</f>
        <v>4.95</v>
      </c>
      <c r="J35" s="12">
        <f t="shared" si="14"/>
        <v>0.58579881656804744</v>
      </c>
      <c r="K35" s="6">
        <v>2</v>
      </c>
      <c r="L35" s="20">
        <v>2.4018198876362402</v>
      </c>
      <c r="M35" s="30">
        <f t="shared" si="15"/>
        <v>2.6672506739570001E-2</v>
      </c>
      <c r="N35" s="21">
        <v>0</v>
      </c>
      <c r="O35" s="22">
        <f t="shared" si="16"/>
        <v>0</v>
      </c>
      <c r="P35" s="23">
        <v>7.5086150916010999</v>
      </c>
      <c r="Q35" s="15">
        <f t="shared" si="17"/>
        <v>7.0549707371674958E-2</v>
      </c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75" customHeight="1" thickBot="1">
      <c r="A36" s="25">
        <v>2</v>
      </c>
      <c r="B36" s="1">
        <v>5.54</v>
      </c>
      <c r="C36" s="26">
        <v>1</v>
      </c>
      <c r="D36" s="26">
        <v>1</v>
      </c>
      <c r="E36" s="26">
        <v>1</v>
      </c>
      <c r="F36" s="12">
        <v>10</v>
      </c>
      <c r="G36" s="1">
        <v>0.85</v>
      </c>
      <c r="H36" s="11">
        <v>5</v>
      </c>
      <c r="I36" s="26">
        <f>G36*'week8reox ph5&amp;8'!$H36</f>
        <v>4.25</v>
      </c>
      <c r="J36" s="26">
        <f t="shared" si="14"/>
        <v>0.50295857988165682</v>
      </c>
      <c r="K36" s="27">
        <v>2</v>
      </c>
      <c r="L36" s="28">
        <v>0.60567119598550501</v>
      </c>
      <c r="M36" s="30">
        <f t="shared" si="15"/>
        <v>6.7260534980354333E-3</v>
      </c>
      <c r="N36" s="29">
        <v>0</v>
      </c>
      <c r="O36" s="30">
        <f t="shared" si="16"/>
        <v>0</v>
      </c>
      <c r="P36" s="31">
        <v>4.3097789563380502</v>
      </c>
      <c r="Q36" s="15">
        <f t="shared" si="17"/>
        <v>4.0493971324533196E-2</v>
      </c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15.75" customHeight="1" thickBot="1">
      <c r="A37" s="10">
        <v>0</v>
      </c>
      <c r="B37" s="1">
        <v>5.54</v>
      </c>
      <c r="C37" s="11">
        <v>1</v>
      </c>
      <c r="D37" s="11">
        <v>2</v>
      </c>
      <c r="E37" s="11">
        <v>1</v>
      </c>
      <c r="F37" s="12">
        <v>10</v>
      </c>
      <c r="G37" s="1"/>
      <c r="H37" s="11">
        <v>5</v>
      </c>
      <c r="I37" s="11">
        <f>G37*'week8reox ph5&amp;8'!$H37</f>
        <v>0</v>
      </c>
      <c r="J37" s="11"/>
      <c r="K37" s="13">
        <v>2</v>
      </c>
      <c r="L37" s="14">
        <v>103.291340497497</v>
      </c>
      <c r="M37" s="30">
        <f t="shared" ref="M37:M43" si="18">L37/$L$37</f>
        <v>1</v>
      </c>
      <c r="N37" s="16">
        <v>84.423797043662802</v>
      </c>
      <c r="O37" s="15">
        <f t="shared" ref="O37:O43" si="19">N37/$N$37</f>
        <v>1</v>
      </c>
      <c r="P37" s="17">
        <v>106.556184589257</v>
      </c>
      <c r="Q37" s="15">
        <f t="shared" ref="Q37:Q43" si="20">P37/$P$37</f>
        <v>1</v>
      </c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.75" customHeight="1" thickBot="1">
      <c r="A38" s="19">
        <v>0.43</v>
      </c>
      <c r="B38" s="1">
        <v>5.54</v>
      </c>
      <c r="C38" s="12">
        <v>1</v>
      </c>
      <c r="D38" s="12">
        <v>2</v>
      </c>
      <c r="E38" s="12">
        <v>1</v>
      </c>
      <c r="F38" s="12">
        <v>10</v>
      </c>
      <c r="G38" s="1"/>
      <c r="H38" s="11">
        <v>5</v>
      </c>
      <c r="I38" s="12">
        <f>G38*'week8reox ph5&amp;8'!$H38</f>
        <v>0</v>
      </c>
      <c r="J38" s="12"/>
      <c r="K38" s="6">
        <v>2</v>
      </c>
      <c r="L38" s="20">
        <v>65.551226458566603</v>
      </c>
      <c r="M38" s="30">
        <f t="shared" si="18"/>
        <v>0.63462460786008545</v>
      </c>
      <c r="N38" s="21">
        <v>0</v>
      </c>
      <c r="O38" s="15">
        <f t="shared" si="19"/>
        <v>0</v>
      </c>
      <c r="P38" s="23">
        <v>71.105582054610693</v>
      </c>
      <c r="Q38" s="15">
        <f t="shared" si="20"/>
        <v>0.6673060069549408</v>
      </c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75" customHeight="1" thickBot="1">
      <c r="A39" s="19">
        <v>0.66</v>
      </c>
      <c r="B39" s="1">
        <v>5.54</v>
      </c>
      <c r="C39" s="12">
        <v>1</v>
      </c>
      <c r="D39" s="12">
        <v>2</v>
      </c>
      <c r="E39" s="12">
        <v>1</v>
      </c>
      <c r="F39" s="12">
        <v>10</v>
      </c>
      <c r="G39" s="1"/>
      <c r="H39" s="11">
        <v>5</v>
      </c>
      <c r="I39" s="12">
        <f>G39*'week8reox ph5&amp;8'!$H39</f>
        <v>0</v>
      </c>
      <c r="J39" s="12"/>
      <c r="K39" s="6">
        <v>2</v>
      </c>
      <c r="L39" s="20">
        <v>30.760947476709099</v>
      </c>
      <c r="M39" s="30">
        <f t="shared" si="18"/>
        <v>0.29780761222141861</v>
      </c>
      <c r="N39" s="21">
        <v>0</v>
      </c>
      <c r="O39" s="15">
        <f t="shared" si="19"/>
        <v>0</v>
      </c>
      <c r="P39" s="23">
        <v>49.091868868138803</v>
      </c>
      <c r="Q39" s="15">
        <f t="shared" si="20"/>
        <v>0.46071346358143017</v>
      </c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75" customHeight="1" thickBot="1">
      <c r="A40" s="19">
        <v>1</v>
      </c>
      <c r="B40" s="1">
        <v>5.54</v>
      </c>
      <c r="C40" s="12">
        <v>1</v>
      </c>
      <c r="D40" s="12">
        <v>2</v>
      </c>
      <c r="E40" s="12">
        <v>1</v>
      </c>
      <c r="F40" s="12">
        <v>10</v>
      </c>
      <c r="G40" s="1"/>
      <c r="H40" s="11">
        <v>5</v>
      </c>
      <c r="I40" s="12">
        <f>G40*'week8reox ph5&amp;8'!$H40</f>
        <v>0</v>
      </c>
      <c r="J40" s="12"/>
      <c r="K40" s="6">
        <v>2</v>
      </c>
      <c r="L40" s="20">
        <v>11.614451310612001</v>
      </c>
      <c r="M40" s="30">
        <f t="shared" si="18"/>
        <v>0.11244361100041535</v>
      </c>
      <c r="N40" s="21">
        <v>0</v>
      </c>
      <c r="O40" s="15">
        <f t="shared" si="19"/>
        <v>0</v>
      </c>
      <c r="P40" s="23">
        <v>27.531438599545901</v>
      </c>
      <c r="Q40" s="15">
        <f t="shared" si="20"/>
        <v>0.25837485365745372</v>
      </c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75" customHeight="1" thickBot="1">
      <c r="A41" s="19">
        <v>1.33</v>
      </c>
      <c r="B41" s="1">
        <v>5.54</v>
      </c>
      <c r="C41" s="12">
        <v>1</v>
      </c>
      <c r="D41" s="12">
        <v>2</v>
      </c>
      <c r="E41" s="12">
        <v>1</v>
      </c>
      <c r="F41" s="12">
        <v>10</v>
      </c>
      <c r="G41" s="1"/>
      <c r="H41" s="11">
        <v>5</v>
      </c>
      <c r="I41" s="12">
        <f>G41*'week8reox ph5&amp;8'!$H41</f>
        <v>0</v>
      </c>
      <c r="J41" s="12"/>
      <c r="K41" s="6">
        <v>2</v>
      </c>
      <c r="L41" s="20">
        <v>5.5510117424760201</v>
      </c>
      <c r="M41" s="30">
        <f t="shared" si="18"/>
        <v>5.3741307990968851E-2</v>
      </c>
      <c r="N41" s="21">
        <v>0</v>
      </c>
      <c r="O41" s="15">
        <f t="shared" si="19"/>
        <v>0</v>
      </c>
      <c r="P41" s="23">
        <v>18.511027734661699</v>
      </c>
      <c r="Q41" s="15">
        <f t="shared" si="20"/>
        <v>0.17372081973483106</v>
      </c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.75" customHeight="1" thickBot="1">
      <c r="A42" s="19">
        <v>1.76</v>
      </c>
      <c r="B42" s="1">
        <v>5.54</v>
      </c>
      <c r="C42" s="12">
        <v>1</v>
      </c>
      <c r="D42" s="12">
        <v>2</v>
      </c>
      <c r="E42" s="12">
        <v>1</v>
      </c>
      <c r="F42" s="12">
        <v>10</v>
      </c>
      <c r="G42" s="1"/>
      <c r="H42" s="11">
        <v>5</v>
      </c>
      <c r="I42" s="12">
        <f>G42*'week8reox ph5&amp;8'!$H42</f>
        <v>0</v>
      </c>
      <c r="J42" s="12"/>
      <c r="K42" s="6">
        <v>2</v>
      </c>
      <c r="L42" s="20">
        <v>2.2064031161084401</v>
      </c>
      <c r="M42" s="30">
        <f t="shared" si="18"/>
        <v>2.1360968939713842E-2</v>
      </c>
      <c r="N42" s="21">
        <v>0</v>
      </c>
      <c r="O42" s="15">
        <f t="shared" si="19"/>
        <v>0</v>
      </c>
      <c r="P42" s="23">
        <v>9.7696430747225396</v>
      </c>
      <c r="Q42" s="15">
        <f t="shared" si="20"/>
        <v>9.1685368731825964E-2</v>
      </c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75" customHeight="1" thickBot="1">
      <c r="A43" s="25">
        <v>2</v>
      </c>
      <c r="B43" s="1">
        <v>5.54</v>
      </c>
      <c r="C43" s="26">
        <v>1</v>
      </c>
      <c r="D43" s="26">
        <v>2</v>
      </c>
      <c r="E43" s="26">
        <v>1</v>
      </c>
      <c r="F43" s="12">
        <v>10</v>
      </c>
      <c r="G43" s="1"/>
      <c r="H43" s="11">
        <v>5</v>
      </c>
      <c r="I43" s="26">
        <f>G43*'week8reox ph5&amp;8'!$H43</f>
        <v>0</v>
      </c>
      <c r="J43" s="26"/>
      <c r="K43" s="27">
        <v>2</v>
      </c>
      <c r="L43" s="28">
        <v>0.90729524795330296</v>
      </c>
      <c r="M43" s="30">
        <f t="shared" si="18"/>
        <v>8.7838461925594715E-3</v>
      </c>
      <c r="N43" s="29">
        <v>0</v>
      </c>
      <c r="O43" s="15">
        <f t="shared" si="19"/>
        <v>0</v>
      </c>
      <c r="P43" s="31">
        <v>6.0219117602335803</v>
      </c>
      <c r="Q43" s="15">
        <f t="shared" si="20"/>
        <v>5.6513958185029738E-2</v>
      </c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5.75" customHeight="1" thickBot="1">
      <c r="A44" s="10">
        <v>0</v>
      </c>
      <c r="B44" s="1">
        <v>5.56</v>
      </c>
      <c r="C44" s="11">
        <v>2</v>
      </c>
      <c r="D44" s="11">
        <v>1</v>
      </c>
      <c r="E44" s="11">
        <v>1</v>
      </c>
      <c r="F44" s="12">
        <v>10</v>
      </c>
      <c r="G44" s="1">
        <v>1.86</v>
      </c>
      <c r="H44" s="11">
        <v>5</v>
      </c>
      <c r="I44" s="11">
        <f>G44*'week8reox ph5&amp;8'!$H44</f>
        <v>9.3000000000000007</v>
      </c>
      <c r="J44" s="11">
        <f t="shared" ref="J44:J50" si="21">I44/$I$44</f>
        <v>1</v>
      </c>
      <c r="K44" s="13">
        <v>2</v>
      </c>
      <c r="L44" s="14">
        <v>107.788039222119</v>
      </c>
      <c r="M44" s="30">
        <f t="shared" ref="M44:M50" si="22">L44/$L$44</f>
        <v>1</v>
      </c>
      <c r="N44" s="16">
        <v>74.575673225611695</v>
      </c>
      <c r="O44" s="15">
        <f t="shared" ref="O44:O50" si="23">N44/$N$44</f>
        <v>1</v>
      </c>
      <c r="P44" s="32">
        <v>98.384972203322704</v>
      </c>
      <c r="Q44" s="15">
        <f t="shared" ref="Q44:Q50" si="24">P44/$P$44</f>
        <v>1</v>
      </c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.75" customHeight="1">
      <c r="A45" s="19">
        <v>0.43</v>
      </c>
      <c r="B45" s="1">
        <v>5.56</v>
      </c>
      <c r="C45" s="12">
        <v>2</v>
      </c>
      <c r="D45" s="12">
        <v>1</v>
      </c>
      <c r="E45" s="12">
        <v>1</v>
      </c>
      <c r="F45" s="12">
        <v>10</v>
      </c>
      <c r="G45" s="1">
        <v>1.63</v>
      </c>
      <c r="H45" s="11">
        <v>5</v>
      </c>
      <c r="I45" s="12">
        <f>G45*'week8reox ph5&amp;8'!$H45</f>
        <v>8.1499999999999986</v>
      </c>
      <c r="J45" s="12">
        <f t="shared" si="21"/>
        <v>0.87634408602150515</v>
      </c>
      <c r="K45" s="6">
        <v>2</v>
      </c>
      <c r="L45" s="20">
        <v>57.232111034011901</v>
      </c>
      <c r="M45" s="30">
        <f t="shared" si="22"/>
        <v>0.53096903373549265</v>
      </c>
      <c r="N45" s="21">
        <v>0</v>
      </c>
      <c r="O45" s="15">
        <f t="shared" si="23"/>
        <v>0</v>
      </c>
      <c r="P45" s="33">
        <v>69.521111819386903</v>
      </c>
      <c r="Q45" s="15">
        <f t="shared" si="24"/>
        <v>0.70662328059324286</v>
      </c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.75" customHeight="1">
      <c r="A46" s="19">
        <v>0.66</v>
      </c>
      <c r="B46" s="1">
        <v>5.56</v>
      </c>
      <c r="C46" s="12">
        <v>2</v>
      </c>
      <c r="D46" s="12">
        <v>1</v>
      </c>
      <c r="E46" s="12">
        <v>1</v>
      </c>
      <c r="F46" s="12">
        <v>10</v>
      </c>
      <c r="G46" s="1">
        <v>1.48</v>
      </c>
      <c r="H46" s="11">
        <v>5</v>
      </c>
      <c r="I46" s="12">
        <f>G46*'week8reox ph5&amp;8'!$H46</f>
        <v>7.4</v>
      </c>
      <c r="J46" s="12">
        <f t="shared" si="21"/>
        <v>0.79569892473118276</v>
      </c>
      <c r="K46" s="6">
        <v>2</v>
      </c>
      <c r="L46" s="20">
        <v>23.622821793471601</v>
      </c>
      <c r="M46" s="30">
        <f t="shared" si="22"/>
        <v>0.21915995470324878</v>
      </c>
      <c r="N46" s="21">
        <v>0</v>
      </c>
      <c r="O46" s="15">
        <f t="shared" si="23"/>
        <v>0</v>
      </c>
      <c r="P46" s="33">
        <v>45.882528850643297</v>
      </c>
      <c r="Q46" s="15">
        <f t="shared" si="24"/>
        <v>0.46635708506195755</v>
      </c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.75" customHeight="1">
      <c r="A47" s="19">
        <v>1</v>
      </c>
      <c r="B47" s="1">
        <v>5.56</v>
      </c>
      <c r="C47" s="12">
        <v>2</v>
      </c>
      <c r="D47" s="12">
        <v>1</v>
      </c>
      <c r="E47" s="12">
        <v>1</v>
      </c>
      <c r="F47" s="12">
        <v>10</v>
      </c>
      <c r="G47" s="1">
        <v>1.35</v>
      </c>
      <c r="H47" s="11">
        <v>5</v>
      </c>
      <c r="I47" s="12">
        <f>G47*'week8reox ph5&amp;8'!$H47</f>
        <v>6.75</v>
      </c>
      <c r="J47" s="12">
        <f t="shared" si="21"/>
        <v>0.72580645161290314</v>
      </c>
      <c r="K47" s="6">
        <v>2</v>
      </c>
      <c r="L47" s="20">
        <v>18.158293857725202</v>
      </c>
      <c r="M47" s="30">
        <f t="shared" si="22"/>
        <v>0.16846297593656356</v>
      </c>
      <c r="N47" s="21">
        <v>0</v>
      </c>
      <c r="O47" s="15">
        <f t="shared" si="23"/>
        <v>0</v>
      </c>
      <c r="P47" s="33">
        <v>27.618701621169699</v>
      </c>
      <c r="Q47" s="15">
        <f t="shared" si="24"/>
        <v>0.28072073409842307</v>
      </c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.75" customHeight="1">
      <c r="A48" s="19">
        <v>1.33</v>
      </c>
      <c r="B48" s="1">
        <v>5.56</v>
      </c>
      <c r="C48" s="12">
        <v>2</v>
      </c>
      <c r="D48" s="12">
        <v>1</v>
      </c>
      <c r="E48" s="12">
        <v>1</v>
      </c>
      <c r="F48" s="12">
        <v>10</v>
      </c>
      <c r="G48" s="1">
        <v>1.18</v>
      </c>
      <c r="H48" s="11">
        <v>5</v>
      </c>
      <c r="I48" s="12">
        <f>G48*'week8reox ph5&amp;8'!$H48</f>
        <v>5.8999999999999995</v>
      </c>
      <c r="J48" s="12">
        <f t="shared" si="21"/>
        <v>0.63440860215053752</v>
      </c>
      <c r="K48" s="6">
        <v>2</v>
      </c>
      <c r="L48" s="20">
        <v>6.0730759858402301</v>
      </c>
      <c r="M48" s="30">
        <f t="shared" si="22"/>
        <v>5.6342763349887387E-2</v>
      </c>
      <c r="N48" s="21">
        <v>0</v>
      </c>
      <c r="O48" s="15">
        <f t="shared" si="23"/>
        <v>0</v>
      </c>
      <c r="P48" s="33">
        <v>14.8783004641028</v>
      </c>
      <c r="Q48" s="15">
        <f t="shared" si="24"/>
        <v>0.15122533585063433</v>
      </c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.75" customHeight="1">
      <c r="A49" s="19">
        <v>1.76</v>
      </c>
      <c r="B49" s="1">
        <v>5.56</v>
      </c>
      <c r="C49" s="12">
        <v>2</v>
      </c>
      <c r="D49" s="12">
        <v>1</v>
      </c>
      <c r="E49" s="12">
        <v>1</v>
      </c>
      <c r="F49" s="12">
        <v>10</v>
      </c>
      <c r="G49" s="1">
        <v>1.01</v>
      </c>
      <c r="H49" s="11">
        <v>5</v>
      </c>
      <c r="I49" s="12">
        <f>G49*'week8reox ph5&amp;8'!$H49</f>
        <v>5.05</v>
      </c>
      <c r="J49" s="12">
        <f t="shared" si="21"/>
        <v>0.543010752688172</v>
      </c>
      <c r="K49" s="6">
        <v>2</v>
      </c>
      <c r="L49" s="20">
        <v>3.7461519936529601</v>
      </c>
      <c r="M49" s="30">
        <f t="shared" si="22"/>
        <v>3.4754802301703053E-2</v>
      </c>
      <c r="N49" s="21">
        <v>0</v>
      </c>
      <c r="O49" s="15">
        <f t="shared" si="23"/>
        <v>0</v>
      </c>
      <c r="P49" s="23">
        <v>8.8636158995920393</v>
      </c>
      <c r="Q49" s="15">
        <f t="shared" si="24"/>
        <v>9.0091156211077258E-2</v>
      </c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.75" customHeight="1">
      <c r="A50" s="25">
        <v>2</v>
      </c>
      <c r="B50" s="1">
        <v>5.56</v>
      </c>
      <c r="C50" s="26">
        <v>2</v>
      </c>
      <c r="D50" s="26">
        <v>1</v>
      </c>
      <c r="E50" s="26">
        <v>1</v>
      </c>
      <c r="F50" s="12">
        <v>10</v>
      </c>
      <c r="G50" s="1">
        <v>0.9</v>
      </c>
      <c r="H50" s="11">
        <v>5</v>
      </c>
      <c r="I50" s="26">
        <f>G50*'week8reox ph5&amp;8'!$H50</f>
        <v>4.5</v>
      </c>
      <c r="J50" s="26">
        <f t="shared" si="21"/>
        <v>0.48387096774193544</v>
      </c>
      <c r="K50" s="27">
        <v>2</v>
      </c>
      <c r="L50" s="28">
        <v>3.1758729705872603E-2</v>
      </c>
      <c r="M50" s="30">
        <f t="shared" si="22"/>
        <v>2.9464057362085729E-4</v>
      </c>
      <c r="N50" s="29">
        <v>0</v>
      </c>
      <c r="O50" s="15">
        <f t="shared" si="23"/>
        <v>0</v>
      </c>
      <c r="P50" s="31">
        <v>3.3943252202296801</v>
      </c>
      <c r="Q50" s="15">
        <f t="shared" si="24"/>
        <v>3.4500443962264447E-2</v>
      </c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5.75" customHeight="1">
      <c r="A51" s="10">
        <v>0</v>
      </c>
      <c r="B51" s="1">
        <v>5.56</v>
      </c>
      <c r="C51" s="11">
        <v>2</v>
      </c>
      <c r="D51" s="11">
        <v>2</v>
      </c>
      <c r="E51" s="11">
        <v>1</v>
      </c>
      <c r="F51" s="12">
        <v>10</v>
      </c>
      <c r="G51" s="1"/>
      <c r="H51" s="11">
        <v>5</v>
      </c>
      <c r="I51" s="11">
        <f>G51*'week8reox ph5&amp;8'!$H51</f>
        <v>0</v>
      </c>
      <c r="J51" s="11"/>
      <c r="K51" s="13">
        <v>2</v>
      </c>
      <c r="L51" s="14">
        <v>85.058856576450793</v>
      </c>
      <c r="M51" s="30">
        <f t="shared" ref="M51:M57" si="25">L51/$L$51</f>
        <v>1</v>
      </c>
      <c r="N51" s="16">
        <v>71.538351748252595</v>
      </c>
      <c r="O51" s="15">
        <f t="shared" ref="O51:O57" si="26">N51/$N$51</f>
        <v>1</v>
      </c>
      <c r="P51" s="32">
        <v>95.477012806805504</v>
      </c>
      <c r="Q51" s="15">
        <f t="shared" ref="Q51:Q52" si="27">P51/$P$51</f>
        <v>1</v>
      </c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.75" customHeight="1">
      <c r="A52" s="19">
        <v>0.43</v>
      </c>
      <c r="B52" s="1">
        <v>5.56</v>
      </c>
      <c r="C52" s="12">
        <v>2</v>
      </c>
      <c r="D52" s="12">
        <v>2</v>
      </c>
      <c r="E52" s="12">
        <v>1</v>
      </c>
      <c r="F52" s="12">
        <v>10</v>
      </c>
      <c r="G52" s="1"/>
      <c r="H52" s="11">
        <v>5</v>
      </c>
      <c r="I52" s="12">
        <f>G52*'week8reox ph5&amp;8'!$H52</f>
        <v>0</v>
      </c>
      <c r="J52" s="12"/>
      <c r="K52" s="6">
        <v>2</v>
      </c>
      <c r="L52" s="20">
        <v>50.931575406903299</v>
      </c>
      <c r="M52" s="30">
        <f t="shared" si="25"/>
        <v>0.59878039109456005</v>
      </c>
      <c r="N52" s="21">
        <v>0</v>
      </c>
      <c r="O52" s="15">
        <f t="shared" si="26"/>
        <v>0</v>
      </c>
      <c r="P52" s="33">
        <v>76.941700621169204</v>
      </c>
      <c r="Q52" s="15">
        <f t="shared" si="27"/>
        <v>0.8058662327115127</v>
      </c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.75" customHeight="1">
      <c r="A53" s="19">
        <v>0.66</v>
      </c>
      <c r="B53" s="1">
        <v>5.56</v>
      </c>
      <c r="C53" s="12">
        <v>2</v>
      </c>
      <c r="D53" s="12">
        <v>2</v>
      </c>
      <c r="E53" s="12">
        <v>1</v>
      </c>
      <c r="F53" s="12">
        <v>10</v>
      </c>
      <c r="G53" s="1"/>
      <c r="H53" s="11">
        <v>5</v>
      </c>
      <c r="I53" s="12">
        <f>G53*'week8reox ph5&amp;8'!$H53</f>
        <v>0</v>
      </c>
      <c r="J53" s="12"/>
      <c r="K53" s="6">
        <v>2</v>
      </c>
      <c r="L53" s="20">
        <v>29.705008879429801</v>
      </c>
      <c r="M53" s="30">
        <f t="shared" si="25"/>
        <v>0.3492288760398628</v>
      </c>
      <c r="N53" s="21">
        <v>0</v>
      </c>
      <c r="O53" s="15">
        <f t="shared" si="26"/>
        <v>0</v>
      </c>
      <c r="P53" s="33" t="s">
        <v>28</v>
      </c>
      <c r="Q53" s="15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.75" customHeight="1">
      <c r="A54" s="19">
        <v>1</v>
      </c>
      <c r="B54" s="1">
        <v>5.56</v>
      </c>
      <c r="C54" s="12">
        <v>2</v>
      </c>
      <c r="D54" s="12">
        <v>2</v>
      </c>
      <c r="E54" s="12">
        <v>1</v>
      </c>
      <c r="F54" s="12">
        <v>10</v>
      </c>
      <c r="G54" s="1"/>
      <c r="H54" s="11">
        <v>5</v>
      </c>
      <c r="I54" s="12">
        <f>G54*'week8reox ph5&amp;8'!$H54</f>
        <v>0</v>
      </c>
      <c r="J54" s="12"/>
      <c r="K54" s="6">
        <v>2</v>
      </c>
      <c r="L54" s="20">
        <v>14.9283398881228</v>
      </c>
      <c r="M54" s="30">
        <f t="shared" si="25"/>
        <v>0.17550600241969191</v>
      </c>
      <c r="N54" s="21">
        <v>0</v>
      </c>
      <c r="O54" s="15">
        <f t="shared" si="26"/>
        <v>0</v>
      </c>
      <c r="P54" s="33">
        <v>30.681795278351402</v>
      </c>
      <c r="Q54" s="15">
        <f t="shared" ref="Q54:Q57" si="28">P54/$P$51</f>
        <v>0.32135269397708299</v>
      </c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.75" customHeight="1">
      <c r="A55" s="19">
        <v>1.33</v>
      </c>
      <c r="B55" s="1">
        <v>5.56</v>
      </c>
      <c r="C55" s="12">
        <v>2</v>
      </c>
      <c r="D55" s="12">
        <v>2</v>
      </c>
      <c r="E55" s="12">
        <v>1</v>
      </c>
      <c r="F55" s="12">
        <v>10</v>
      </c>
      <c r="G55" s="1"/>
      <c r="H55" s="11">
        <v>5</v>
      </c>
      <c r="I55" s="12">
        <f>G55*'week8reox ph5&amp;8'!$H55</f>
        <v>0</v>
      </c>
      <c r="J55" s="12"/>
      <c r="K55" s="6">
        <v>2</v>
      </c>
      <c r="L55" s="20">
        <v>8.6030057045942492</v>
      </c>
      <c r="M55" s="30">
        <f t="shared" si="25"/>
        <v>0.10114179817197376</v>
      </c>
      <c r="N55" s="21">
        <v>0</v>
      </c>
      <c r="O55" s="15">
        <f t="shared" si="26"/>
        <v>0</v>
      </c>
      <c r="P55" s="33">
        <v>16.704359990673801</v>
      </c>
      <c r="Q55" s="15">
        <f t="shared" si="28"/>
        <v>0.17495687704929044</v>
      </c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.75" customHeight="1">
      <c r="A56" s="19">
        <v>1.76</v>
      </c>
      <c r="B56" s="1">
        <v>5.56</v>
      </c>
      <c r="C56" s="12">
        <v>2</v>
      </c>
      <c r="D56" s="12">
        <v>2</v>
      </c>
      <c r="E56" s="12">
        <v>1</v>
      </c>
      <c r="F56" s="12">
        <v>10</v>
      </c>
      <c r="G56" s="1"/>
      <c r="H56" s="11">
        <v>5</v>
      </c>
      <c r="I56" s="12">
        <f>G56*'week8reox ph5&amp;8'!$H56</f>
        <v>0</v>
      </c>
      <c r="J56" s="12"/>
      <c r="K56" s="6">
        <v>2</v>
      </c>
      <c r="L56" s="20">
        <v>2.4736027187300098</v>
      </c>
      <c r="M56" s="30">
        <f t="shared" si="25"/>
        <v>2.908107184002337E-2</v>
      </c>
      <c r="N56" s="21">
        <v>0</v>
      </c>
      <c r="O56" s="15">
        <f t="shared" si="26"/>
        <v>0</v>
      </c>
      <c r="P56" s="23">
        <v>9.0456831916218299</v>
      </c>
      <c r="Q56" s="15">
        <f t="shared" si="28"/>
        <v>9.4742000463770931E-2</v>
      </c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.75" customHeight="1">
      <c r="A57" s="25">
        <v>2</v>
      </c>
      <c r="B57" s="1">
        <v>5.56</v>
      </c>
      <c r="C57" s="26">
        <v>2</v>
      </c>
      <c r="D57" s="26">
        <v>2</v>
      </c>
      <c r="E57" s="26">
        <v>1</v>
      </c>
      <c r="F57" s="12">
        <v>10</v>
      </c>
      <c r="G57" s="1"/>
      <c r="H57" s="11">
        <v>5</v>
      </c>
      <c r="I57" s="26">
        <f>G57*'week8reox ph5&amp;8'!$H57</f>
        <v>0</v>
      </c>
      <c r="J57" s="26"/>
      <c r="K57" s="27">
        <v>2</v>
      </c>
      <c r="L57" s="28">
        <v>0</v>
      </c>
      <c r="M57" s="30">
        <f t="shared" si="25"/>
        <v>0</v>
      </c>
      <c r="N57" s="29">
        <v>0</v>
      </c>
      <c r="O57" s="15">
        <f t="shared" si="26"/>
        <v>0</v>
      </c>
      <c r="P57" s="31">
        <v>5.8417297803993602</v>
      </c>
      <c r="Q57" s="15">
        <f t="shared" si="28"/>
        <v>6.1184672715095333E-2</v>
      </c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15.75" customHeight="1">
      <c r="J58" s="6"/>
    </row>
    <row r="59" spans="1:26" ht="15.75" customHeight="1">
      <c r="J59" s="6"/>
    </row>
    <row r="60" spans="1:26" ht="15.75" customHeight="1">
      <c r="J60" s="6"/>
    </row>
    <row r="61" spans="1:26" ht="15.75" customHeight="1">
      <c r="J61" s="6"/>
    </row>
    <row r="62" spans="1:26" ht="15.75" customHeight="1">
      <c r="J62" s="6"/>
    </row>
    <row r="63" spans="1:26" ht="15.75" customHeight="1">
      <c r="J63" s="6"/>
    </row>
    <row r="64" spans="1:26" ht="15.75" customHeight="1">
      <c r="J64" s="6"/>
    </row>
    <row r="65" spans="10:10" ht="15.75" customHeight="1">
      <c r="J65" s="6"/>
    </row>
    <row r="66" spans="10:10" ht="15.75" customHeight="1">
      <c r="J66" s="6"/>
    </row>
    <row r="67" spans="10:10" ht="15.75" customHeight="1">
      <c r="J67" s="6"/>
    </row>
    <row r="68" spans="10:10" ht="15.75" customHeight="1">
      <c r="J68" s="6"/>
    </row>
    <row r="69" spans="10:10" ht="15.75" customHeight="1">
      <c r="J69" s="6"/>
    </row>
    <row r="70" spans="10:10" ht="15.75" customHeight="1">
      <c r="J70" s="6"/>
    </row>
    <row r="71" spans="10:10" ht="15.75" customHeight="1">
      <c r="J71" s="6"/>
    </row>
    <row r="72" spans="10:10" ht="15.75" customHeight="1">
      <c r="J72" s="6"/>
    </row>
    <row r="73" spans="10:10" ht="15.75" customHeight="1">
      <c r="J73" s="6"/>
    </row>
    <row r="74" spans="10:10" ht="15.75" customHeight="1">
      <c r="J74" s="6"/>
    </row>
    <row r="75" spans="10:10" ht="15.75" customHeight="1">
      <c r="J75" s="6"/>
    </row>
    <row r="76" spans="10:10" ht="15.75" customHeight="1">
      <c r="J76" s="6"/>
    </row>
    <row r="77" spans="10:10" ht="15.75" customHeight="1">
      <c r="J77" s="6"/>
    </row>
    <row r="78" spans="10:10" ht="15.75" customHeight="1">
      <c r="J78" s="6"/>
    </row>
    <row r="79" spans="10:10" ht="15.75" customHeight="1">
      <c r="J79" s="6"/>
    </row>
    <row r="80" spans="10:10" ht="15.75" customHeight="1">
      <c r="J80" s="6"/>
    </row>
    <row r="81" spans="10:10" ht="15.75" customHeight="1">
      <c r="J81" s="6"/>
    </row>
    <row r="82" spans="10:10" ht="15.75" customHeight="1">
      <c r="J82" s="6"/>
    </row>
    <row r="83" spans="10:10" ht="15.75" customHeight="1">
      <c r="J83" s="6"/>
    </row>
    <row r="84" spans="10:10" ht="15.75" customHeight="1">
      <c r="J84" s="6"/>
    </row>
    <row r="85" spans="10:10" ht="15.75" customHeight="1">
      <c r="J85" s="6"/>
    </row>
    <row r="86" spans="10:10" ht="15.75" customHeight="1">
      <c r="J86" s="6"/>
    </row>
    <row r="87" spans="10:10" ht="15.75" customHeight="1">
      <c r="J87" s="6"/>
    </row>
    <row r="88" spans="10:10" ht="15.75" customHeight="1">
      <c r="J88" s="6"/>
    </row>
    <row r="89" spans="10:10" ht="15.75" customHeight="1">
      <c r="J89" s="6"/>
    </row>
    <row r="90" spans="10:10" ht="15.75" customHeight="1">
      <c r="J90" s="6"/>
    </row>
    <row r="91" spans="10:10" ht="15.75" customHeight="1">
      <c r="J91" s="6"/>
    </row>
    <row r="92" spans="10:10" ht="15.75" customHeight="1">
      <c r="J92" s="6"/>
    </row>
    <row r="93" spans="10:10" ht="15.75" customHeight="1">
      <c r="J93" s="6"/>
    </row>
    <row r="94" spans="10:10" ht="15.75" customHeight="1">
      <c r="J94" s="6"/>
    </row>
    <row r="95" spans="10:10" ht="15.75" customHeight="1">
      <c r="J95" s="6"/>
    </row>
    <row r="96" spans="10:10" ht="15.75" customHeight="1">
      <c r="J96" s="6"/>
    </row>
    <row r="97" spans="10:10" ht="15.75" customHeight="1">
      <c r="J97" s="6"/>
    </row>
    <row r="98" spans="10:10" ht="15.75" customHeight="1">
      <c r="J98" s="6"/>
    </row>
    <row r="99" spans="10:10" ht="15.75" customHeight="1">
      <c r="J99" s="6"/>
    </row>
    <row r="100" spans="10:10" ht="15.75" customHeight="1">
      <c r="J100" s="6"/>
    </row>
    <row r="101" spans="10:10" ht="15.75" customHeight="1">
      <c r="J101" s="6"/>
    </row>
    <row r="102" spans="10:10" ht="15.75" customHeight="1">
      <c r="J102" s="6"/>
    </row>
    <row r="103" spans="10:10" ht="15.75" customHeight="1">
      <c r="J103" s="6"/>
    </row>
    <row r="104" spans="10:10" ht="15.75" customHeight="1">
      <c r="J104" s="6"/>
    </row>
    <row r="105" spans="10:10" ht="15.75" customHeight="1">
      <c r="J105" s="6"/>
    </row>
    <row r="106" spans="10:10" ht="15.75" customHeight="1">
      <c r="J106" s="6"/>
    </row>
    <row r="107" spans="10:10" ht="15.75" customHeight="1">
      <c r="J107" s="6"/>
    </row>
    <row r="108" spans="10:10" ht="15.75" customHeight="1">
      <c r="J108" s="6"/>
    </row>
    <row r="109" spans="10:10" ht="15.75" customHeight="1">
      <c r="J109" s="6"/>
    </row>
    <row r="110" spans="10:10" ht="15.75" customHeight="1">
      <c r="J110" s="6"/>
    </row>
    <row r="111" spans="10:10" ht="15.75" customHeight="1">
      <c r="J111" s="6"/>
    </row>
    <row r="112" spans="10:10" ht="15.75" customHeight="1">
      <c r="J112" s="6"/>
    </row>
    <row r="113" spans="10:10" ht="15.75" customHeight="1">
      <c r="J113" s="6"/>
    </row>
    <row r="114" spans="10:10" ht="15.75" customHeight="1">
      <c r="J114" s="6"/>
    </row>
    <row r="115" spans="10:10" ht="15.75" customHeight="1">
      <c r="J115" s="6"/>
    </row>
    <row r="116" spans="10:10" ht="15.75" customHeight="1">
      <c r="J116" s="6"/>
    </row>
    <row r="117" spans="10:10" ht="15.75" customHeight="1">
      <c r="J117" s="6"/>
    </row>
    <row r="118" spans="10:10" ht="15.75" customHeight="1">
      <c r="J118" s="6"/>
    </row>
    <row r="119" spans="10:10" ht="15.75" customHeight="1">
      <c r="J119" s="6"/>
    </row>
    <row r="120" spans="10:10" ht="15.75" customHeight="1">
      <c r="J120" s="6"/>
    </row>
    <row r="121" spans="10:10" ht="15.75" customHeight="1">
      <c r="J121" s="6"/>
    </row>
    <row r="122" spans="10:10" ht="15.75" customHeight="1">
      <c r="J122" s="6"/>
    </row>
    <row r="123" spans="10:10" ht="15.75" customHeight="1">
      <c r="J123" s="6"/>
    </row>
    <row r="124" spans="10:10" ht="15.75" customHeight="1">
      <c r="J124" s="6"/>
    </row>
    <row r="125" spans="10:10" ht="15.75" customHeight="1">
      <c r="J125" s="6"/>
    </row>
    <row r="126" spans="10:10" ht="15.75" customHeight="1">
      <c r="J126" s="6"/>
    </row>
    <row r="127" spans="10:10" ht="15.75" customHeight="1">
      <c r="J127" s="6"/>
    </row>
    <row r="128" spans="10:10" ht="15.75" customHeight="1">
      <c r="J128" s="6"/>
    </row>
    <row r="129" spans="10:10" ht="15.75" customHeight="1">
      <c r="J129" s="6"/>
    </row>
    <row r="130" spans="10:10" ht="15.75" customHeight="1">
      <c r="J130" s="6"/>
    </row>
    <row r="131" spans="10:10" ht="15.75" customHeight="1">
      <c r="J131" s="6"/>
    </row>
    <row r="132" spans="10:10" ht="15.75" customHeight="1">
      <c r="J132" s="6"/>
    </row>
    <row r="133" spans="10:10" ht="15.75" customHeight="1">
      <c r="J133" s="6"/>
    </row>
    <row r="134" spans="10:10" ht="15.75" customHeight="1">
      <c r="J134" s="6"/>
    </row>
    <row r="135" spans="10:10" ht="15.75" customHeight="1">
      <c r="J135" s="6"/>
    </row>
    <row r="136" spans="10:10" ht="15.75" customHeight="1">
      <c r="J136" s="6"/>
    </row>
    <row r="137" spans="10:10" ht="15.75" customHeight="1">
      <c r="J137" s="6"/>
    </row>
    <row r="138" spans="10:10" ht="15.75" customHeight="1">
      <c r="J138" s="6"/>
    </row>
    <row r="139" spans="10:10" ht="15.75" customHeight="1">
      <c r="J139" s="6"/>
    </row>
    <row r="140" spans="10:10" ht="15.75" customHeight="1">
      <c r="J140" s="6"/>
    </row>
    <row r="141" spans="10:10" ht="15.75" customHeight="1">
      <c r="J141" s="6"/>
    </row>
    <row r="142" spans="10:10" ht="15.75" customHeight="1">
      <c r="J142" s="6"/>
    </row>
    <row r="143" spans="10:10" ht="15.75" customHeight="1">
      <c r="J143" s="6"/>
    </row>
    <row r="144" spans="10:10" ht="15.75" customHeight="1">
      <c r="J144" s="6"/>
    </row>
    <row r="145" spans="10:10" ht="15.75" customHeight="1">
      <c r="J145" s="6"/>
    </row>
    <row r="146" spans="10:10" ht="15.75" customHeight="1">
      <c r="J146" s="6"/>
    </row>
    <row r="147" spans="10:10" ht="15.75" customHeight="1">
      <c r="J147" s="6"/>
    </row>
    <row r="148" spans="10:10" ht="15.75" customHeight="1">
      <c r="J148" s="6"/>
    </row>
    <row r="149" spans="10:10" ht="15.75" customHeight="1">
      <c r="J149" s="6"/>
    </row>
    <row r="150" spans="10:10" ht="15.75" customHeight="1">
      <c r="J150" s="6"/>
    </row>
    <row r="151" spans="10:10" ht="15.75" customHeight="1">
      <c r="J151" s="6"/>
    </row>
    <row r="152" spans="10:10" ht="15.75" customHeight="1">
      <c r="J152" s="6"/>
    </row>
    <row r="153" spans="10:10" ht="15.75" customHeight="1">
      <c r="J153" s="6"/>
    </row>
    <row r="154" spans="10:10" ht="15.75" customHeight="1">
      <c r="J154" s="6"/>
    </row>
    <row r="155" spans="10:10" ht="15.75" customHeight="1">
      <c r="J155" s="6"/>
    </row>
    <row r="156" spans="10:10" ht="15.75" customHeight="1">
      <c r="J156" s="6"/>
    </row>
    <row r="157" spans="10:10" ht="15.75" customHeight="1">
      <c r="J157" s="6"/>
    </row>
    <row r="158" spans="10:10" ht="15.75" customHeight="1">
      <c r="J158" s="6"/>
    </row>
    <row r="159" spans="10:10" ht="15.75" customHeight="1">
      <c r="J159" s="6"/>
    </row>
    <row r="160" spans="10:10" ht="15.75" customHeight="1">
      <c r="J160" s="6"/>
    </row>
    <row r="161" spans="10:10" ht="15.75" customHeight="1">
      <c r="J161" s="6"/>
    </row>
    <row r="162" spans="10:10" ht="15.75" customHeight="1">
      <c r="J162" s="6"/>
    </row>
    <row r="163" spans="10:10" ht="15.75" customHeight="1">
      <c r="J163" s="6"/>
    </row>
    <row r="164" spans="10:10" ht="15.75" customHeight="1">
      <c r="J164" s="6"/>
    </row>
    <row r="165" spans="10:10" ht="15.75" customHeight="1">
      <c r="J165" s="6"/>
    </row>
    <row r="166" spans="10:10" ht="15.75" customHeight="1">
      <c r="J166" s="6"/>
    </row>
    <row r="167" spans="10:10" ht="15.75" customHeight="1">
      <c r="J167" s="6"/>
    </row>
    <row r="168" spans="10:10" ht="15.75" customHeight="1">
      <c r="J168" s="6"/>
    </row>
    <row r="169" spans="10:10" ht="15.75" customHeight="1">
      <c r="J169" s="6"/>
    </row>
    <row r="170" spans="10:10" ht="15.75" customHeight="1">
      <c r="J170" s="6"/>
    </row>
    <row r="171" spans="10:10" ht="15.75" customHeight="1">
      <c r="J171" s="6"/>
    </row>
    <row r="172" spans="10:10" ht="15.75" customHeight="1">
      <c r="J172" s="6"/>
    </row>
    <row r="173" spans="10:10" ht="15.75" customHeight="1">
      <c r="J173" s="6"/>
    </row>
    <row r="174" spans="10:10" ht="15.75" customHeight="1">
      <c r="J174" s="6"/>
    </row>
    <row r="175" spans="10:10" ht="15.75" customHeight="1">
      <c r="J175" s="6"/>
    </row>
    <row r="176" spans="10:10" ht="15.75" customHeight="1">
      <c r="J176" s="6"/>
    </row>
    <row r="177" spans="10:10" ht="15.75" customHeight="1">
      <c r="J177" s="6"/>
    </row>
    <row r="178" spans="10:10" ht="15.75" customHeight="1">
      <c r="J178" s="6"/>
    </row>
    <row r="179" spans="10:10" ht="15.75" customHeight="1">
      <c r="J179" s="6"/>
    </row>
    <row r="180" spans="10:10" ht="15.75" customHeight="1">
      <c r="J180" s="6"/>
    </row>
    <row r="181" spans="10:10" ht="15.75" customHeight="1">
      <c r="J181" s="6"/>
    </row>
    <row r="182" spans="10:10" ht="15.75" customHeight="1">
      <c r="J182" s="6"/>
    </row>
    <row r="183" spans="10:10" ht="15.75" customHeight="1">
      <c r="J183" s="6"/>
    </row>
    <row r="184" spans="10:10" ht="15.75" customHeight="1">
      <c r="J184" s="6"/>
    </row>
    <row r="185" spans="10:10" ht="15.75" customHeight="1">
      <c r="J185" s="6"/>
    </row>
    <row r="186" spans="10:10" ht="15.75" customHeight="1">
      <c r="J186" s="6"/>
    </row>
    <row r="187" spans="10:10" ht="15.75" customHeight="1">
      <c r="J187" s="6"/>
    </row>
    <row r="188" spans="10:10" ht="15.75" customHeight="1">
      <c r="J188" s="6"/>
    </row>
    <row r="189" spans="10:10" ht="15.75" customHeight="1">
      <c r="J189" s="6"/>
    </row>
    <row r="190" spans="10:10" ht="15.75" customHeight="1">
      <c r="J190" s="6"/>
    </row>
    <row r="191" spans="10:10" ht="15.75" customHeight="1">
      <c r="J191" s="6"/>
    </row>
    <row r="192" spans="10:10" ht="15.75" customHeight="1">
      <c r="J192" s="6"/>
    </row>
    <row r="193" spans="10:10" ht="15.75" customHeight="1">
      <c r="J193" s="6"/>
    </row>
    <row r="194" spans="10:10" ht="15.75" customHeight="1">
      <c r="J194" s="6"/>
    </row>
    <row r="195" spans="10:10" ht="15.75" customHeight="1">
      <c r="J195" s="6"/>
    </row>
    <row r="196" spans="10:10" ht="15.75" customHeight="1">
      <c r="J196" s="6"/>
    </row>
    <row r="197" spans="10:10" ht="15.75" customHeight="1">
      <c r="J197" s="6"/>
    </row>
    <row r="198" spans="10:10" ht="15.75" customHeight="1">
      <c r="J198" s="6"/>
    </row>
    <row r="199" spans="10:10" ht="15.75" customHeight="1">
      <c r="J199" s="6"/>
    </row>
    <row r="200" spans="10:10" ht="15.75" customHeight="1">
      <c r="J200" s="6"/>
    </row>
    <row r="201" spans="10:10" ht="15.75" customHeight="1">
      <c r="J201" s="6"/>
    </row>
    <row r="202" spans="10:10" ht="15.75" customHeight="1">
      <c r="J202" s="6"/>
    </row>
    <row r="203" spans="10:10" ht="15.75" customHeight="1">
      <c r="J203" s="6"/>
    </row>
    <row r="204" spans="10:10" ht="15.75" customHeight="1">
      <c r="J204" s="6"/>
    </row>
    <row r="205" spans="10:10" ht="15.75" customHeight="1">
      <c r="J205" s="6"/>
    </row>
    <row r="206" spans="10:10" ht="15.75" customHeight="1">
      <c r="J206" s="6"/>
    </row>
    <row r="207" spans="10:10" ht="15.75" customHeight="1">
      <c r="J207" s="6"/>
    </row>
    <row r="208" spans="10:10" ht="15.75" customHeight="1">
      <c r="J208" s="6"/>
    </row>
    <row r="209" spans="10:10" ht="15.75" customHeight="1">
      <c r="J209" s="6"/>
    </row>
    <row r="210" spans="10:10" ht="15.75" customHeight="1">
      <c r="J210" s="6"/>
    </row>
    <row r="211" spans="10:10" ht="15.75" customHeight="1">
      <c r="J211" s="6"/>
    </row>
    <row r="212" spans="10:10" ht="15.75" customHeight="1">
      <c r="J212" s="6"/>
    </row>
    <row r="213" spans="10:10" ht="15.75" customHeight="1">
      <c r="J213" s="6"/>
    </row>
    <row r="214" spans="10:10" ht="15.75" customHeight="1">
      <c r="J214" s="6"/>
    </row>
    <row r="215" spans="10:10" ht="15.75" customHeight="1">
      <c r="J215" s="6"/>
    </row>
    <row r="216" spans="10:10" ht="15.75" customHeight="1">
      <c r="J216" s="6"/>
    </row>
    <row r="217" spans="10:10" ht="15.75" customHeight="1">
      <c r="J217" s="6"/>
    </row>
    <row r="218" spans="10:10" ht="15.75" customHeight="1">
      <c r="J218" s="6"/>
    </row>
    <row r="219" spans="10:10" ht="15.75" customHeight="1">
      <c r="J219" s="6"/>
    </row>
    <row r="220" spans="10:10" ht="15.75" customHeight="1">
      <c r="J220" s="6"/>
    </row>
    <row r="221" spans="10:10" ht="15.75" customHeight="1">
      <c r="J221" s="6"/>
    </row>
    <row r="222" spans="10:10" ht="15.75" customHeight="1">
      <c r="J222" s="6"/>
    </row>
    <row r="223" spans="10:10" ht="15.75" customHeight="1">
      <c r="J223" s="6"/>
    </row>
    <row r="224" spans="10:10" ht="15.75" customHeight="1">
      <c r="J224" s="6"/>
    </row>
    <row r="225" spans="10:10" ht="15.75" customHeight="1">
      <c r="J225" s="6"/>
    </row>
    <row r="226" spans="10:10" ht="15.75" customHeight="1">
      <c r="J226" s="6"/>
    </row>
    <row r="227" spans="10:10" ht="15.75" customHeight="1">
      <c r="J227" s="6"/>
    </row>
    <row r="228" spans="10:10" ht="15.75" customHeight="1">
      <c r="J228" s="6"/>
    </row>
    <row r="229" spans="10:10" ht="15.75" customHeight="1">
      <c r="J229" s="6"/>
    </row>
    <row r="230" spans="10:10" ht="15.75" customHeight="1">
      <c r="J230" s="6"/>
    </row>
    <row r="231" spans="10:10" ht="15.75" customHeight="1">
      <c r="J231" s="6"/>
    </row>
    <row r="232" spans="10:10" ht="15.75" customHeight="1">
      <c r="J232" s="6"/>
    </row>
    <row r="233" spans="10:10" ht="15.75" customHeight="1">
      <c r="J233" s="6"/>
    </row>
    <row r="234" spans="10:10" ht="15.75" customHeight="1">
      <c r="J234" s="6"/>
    </row>
    <row r="235" spans="10:10" ht="15.75" customHeight="1">
      <c r="J235" s="6"/>
    </row>
    <row r="236" spans="10:10" ht="15.75" customHeight="1">
      <c r="J236" s="6"/>
    </row>
    <row r="237" spans="10:10" ht="15.75" customHeight="1">
      <c r="J237" s="6"/>
    </row>
    <row r="238" spans="10:10" ht="15.75" customHeight="1">
      <c r="J238" s="6"/>
    </row>
    <row r="239" spans="10:10" ht="15.75" customHeight="1">
      <c r="J239" s="6"/>
    </row>
    <row r="240" spans="10:10" ht="15.75" customHeight="1">
      <c r="J240" s="6"/>
    </row>
    <row r="241" spans="10:10" ht="15.75" customHeight="1">
      <c r="J241" s="6"/>
    </row>
    <row r="242" spans="10:10" ht="15.75" customHeight="1">
      <c r="J242" s="6"/>
    </row>
    <row r="243" spans="10:10" ht="15.75" customHeight="1">
      <c r="J243" s="6"/>
    </row>
    <row r="244" spans="10:10" ht="15.75" customHeight="1">
      <c r="J244" s="6"/>
    </row>
    <row r="245" spans="10:10" ht="15.75" customHeight="1">
      <c r="J245" s="6"/>
    </row>
    <row r="246" spans="10:10" ht="15.75" customHeight="1">
      <c r="J246" s="6"/>
    </row>
    <row r="247" spans="10:10" ht="15.75" customHeight="1">
      <c r="J247" s="6"/>
    </row>
    <row r="248" spans="10:10" ht="15.75" customHeight="1">
      <c r="J248" s="6"/>
    </row>
    <row r="249" spans="10:10" ht="15.75" customHeight="1">
      <c r="J249" s="6"/>
    </row>
    <row r="250" spans="10:10" ht="15.75" customHeight="1">
      <c r="J250" s="6"/>
    </row>
    <row r="251" spans="10:10" ht="15.75" customHeight="1">
      <c r="J251" s="6"/>
    </row>
    <row r="252" spans="10:10" ht="15.75" customHeight="1">
      <c r="J252" s="6"/>
    </row>
    <row r="253" spans="10:10" ht="15.75" customHeight="1">
      <c r="J253" s="6"/>
    </row>
    <row r="254" spans="10:10" ht="15.75" customHeight="1">
      <c r="J254" s="6"/>
    </row>
    <row r="255" spans="10:10" ht="15.75" customHeight="1">
      <c r="J255" s="6"/>
    </row>
    <row r="256" spans="10:10" ht="15.75" customHeight="1">
      <c r="J256" s="6"/>
    </row>
    <row r="257" spans="10:10" ht="15.75" customHeight="1">
      <c r="J257" s="6"/>
    </row>
    <row r="258" spans="10:10" ht="15.75" customHeight="1">
      <c r="J258" s="6"/>
    </row>
    <row r="259" spans="10:10" ht="15.75" customHeight="1">
      <c r="J259" s="6"/>
    </row>
    <row r="260" spans="10:10" ht="15.75" customHeight="1">
      <c r="J260" s="6"/>
    </row>
    <row r="261" spans="10:10" ht="15.75" customHeight="1">
      <c r="J261" s="6"/>
    </row>
    <row r="262" spans="10:10" ht="15.75" customHeight="1">
      <c r="J262" s="6"/>
    </row>
    <row r="263" spans="10:10" ht="15.75" customHeight="1">
      <c r="J263" s="6"/>
    </row>
    <row r="264" spans="10:10" ht="15.75" customHeight="1">
      <c r="J264" s="6"/>
    </row>
    <row r="265" spans="10:10" ht="15.75" customHeight="1">
      <c r="J265" s="6"/>
    </row>
    <row r="266" spans="10:10" ht="15.75" customHeight="1">
      <c r="J266" s="6"/>
    </row>
    <row r="267" spans="10:10" ht="15.75" customHeight="1">
      <c r="J267" s="6"/>
    </row>
    <row r="268" spans="10:10" ht="15.75" customHeight="1">
      <c r="J268" s="6"/>
    </row>
    <row r="269" spans="10:10" ht="15.75" customHeight="1">
      <c r="J269" s="6"/>
    </row>
    <row r="270" spans="10:10" ht="15.75" customHeight="1">
      <c r="J270" s="6"/>
    </row>
    <row r="271" spans="10:10" ht="15.75" customHeight="1">
      <c r="J271" s="6"/>
    </row>
    <row r="272" spans="10:10" ht="15.75" customHeight="1">
      <c r="J272" s="6"/>
    </row>
    <row r="273" spans="10:10" ht="15.75" customHeight="1">
      <c r="J273" s="6"/>
    </row>
    <row r="274" spans="10:10" ht="15.75" customHeight="1">
      <c r="J274" s="6"/>
    </row>
    <row r="275" spans="10:10" ht="15.75" customHeight="1">
      <c r="J275" s="6"/>
    </row>
    <row r="276" spans="10:10" ht="15.75" customHeight="1">
      <c r="J276" s="6"/>
    </row>
    <row r="277" spans="10:10" ht="15.75" customHeight="1">
      <c r="J277" s="6"/>
    </row>
    <row r="278" spans="10:10" ht="15.75" customHeight="1">
      <c r="J278" s="6"/>
    </row>
    <row r="279" spans="10:10" ht="15.75" customHeight="1">
      <c r="J279" s="6"/>
    </row>
    <row r="280" spans="10:10" ht="15.75" customHeight="1">
      <c r="J280" s="6"/>
    </row>
    <row r="281" spans="10:10" ht="15.75" customHeight="1">
      <c r="J281" s="6"/>
    </row>
    <row r="282" spans="10:10" ht="15.75" customHeight="1">
      <c r="J282" s="6"/>
    </row>
    <row r="283" spans="10:10" ht="15.75" customHeight="1">
      <c r="J283" s="6"/>
    </row>
    <row r="284" spans="10:10" ht="15.75" customHeight="1">
      <c r="J284" s="6"/>
    </row>
    <row r="285" spans="10:10" ht="15.75" customHeight="1">
      <c r="J285" s="6"/>
    </row>
    <row r="286" spans="10:10" ht="15.75" customHeight="1">
      <c r="J286" s="6"/>
    </row>
    <row r="287" spans="10:10" ht="15.75" customHeight="1">
      <c r="J287" s="6"/>
    </row>
    <row r="288" spans="10:10" ht="15.75" customHeight="1">
      <c r="J288" s="6"/>
    </row>
    <row r="289" spans="10:10" ht="15.75" customHeight="1">
      <c r="J289" s="6"/>
    </row>
    <row r="290" spans="10:10" ht="15.75" customHeight="1">
      <c r="J290" s="6"/>
    </row>
    <row r="291" spans="10:10" ht="15.75" customHeight="1">
      <c r="J291" s="6"/>
    </row>
    <row r="292" spans="10:10" ht="15.75" customHeight="1">
      <c r="J292" s="6"/>
    </row>
    <row r="293" spans="10:10" ht="15.75" customHeight="1">
      <c r="J293" s="6"/>
    </row>
    <row r="294" spans="10:10" ht="15.75" customHeight="1">
      <c r="J294" s="6"/>
    </row>
    <row r="295" spans="10:10" ht="15.75" customHeight="1">
      <c r="J295" s="6"/>
    </row>
    <row r="296" spans="10:10" ht="15.75" customHeight="1">
      <c r="J296" s="6"/>
    </row>
    <row r="297" spans="10:10" ht="15.75" customHeight="1">
      <c r="J297" s="6"/>
    </row>
    <row r="298" spans="10:10" ht="15.75" customHeight="1">
      <c r="J298" s="6"/>
    </row>
    <row r="299" spans="10:10" ht="15.75" customHeight="1">
      <c r="J299" s="6"/>
    </row>
    <row r="300" spans="10:10" ht="15.75" customHeight="1">
      <c r="J300" s="6"/>
    </row>
    <row r="301" spans="10:10" ht="15.75" customHeight="1">
      <c r="J301" s="6"/>
    </row>
    <row r="302" spans="10:10" ht="15.75" customHeight="1">
      <c r="J302" s="6"/>
    </row>
    <row r="303" spans="10:10" ht="15.75" customHeight="1">
      <c r="J303" s="6"/>
    </row>
    <row r="304" spans="10:10" ht="15.75" customHeight="1">
      <c r="J304" s="6"/>
    </row>
    <row r="305" spans="10:10" ht="15.75" customHeight="1">
      <c r="J305" s="6"/>
    </row>
    <row r="306" spans="10:10" ht="15.75" customHeight="1">
      <c r="J306" s="6"/>
    </row>
    <row r="307" spans="10:10" ht="15.75" customHeight="1">
      <c r="J307" s="6"/>
    </row>
    <row r="308" spans="10:10" ht="15.75" customHeight="1">
      <c r="J308" s="6"/>
    </row>
    <row r="309" spans="10:10" ht="15.75" customHeight="1">
      <c r="J309" s="6"/>
    </row>
    <row r="310" spans="10:10" ht="15.75" customHeight="1">
      <c r="J310" s="6"/>
    </row>
    <row r="311" spans="10:10" ht="15.75" customHeight="1">
      <c r="J311" s="6"/>
    </row>
    <row r="312" spans="10:10" ht="15.75" customHeight="1">
      <c r="J312" s="6"/>
    </row>
    <row r="313" spans="10:10" ht="15.75" customHeight="1">
      <c r="J313" s="6"/>
    </row>
    <row r="314" spans="10:10" ht="15.75" customHeight="1">
      <c r="J314" s="6"/>
    </row>
    <row r="315" spans="10:10" ht="15.75" customHeight="1">
      <c r="J315" s="6"/>
    </row>
    <row r="316" spans="10:10" ht="15.75" customHeight="1">
      <c r="J316" s="6"/>
    </row>
    <row r="317" spans="10:10" ht="15.75" customHeight="1">
      <c r="J317" s="6"/>
    </row>
    <row r="318" spans="10:10" ht="15.75" customHeight="1">
      <c r="J318" s="6"/>
    </row>
    <row r="319" spans="10:10" ht="15.75" customHeight="1">
      <c r="J319" s="6"/>
    </row>
    <row r="320" spans="10:10" ht="15.75" customHeight="1">
      <c r="J320" s="6"/>
    </row>
    <row r="321" spans="10:10" ht="15.75" customHeight="1">
      <c r="J321" s="6"/>
    </row>
    <row r="322" spans="10:10" ht="15.75" customHeight="1">
      <c r="J322" s="6"/>
    </row>
    <row r="323" spans="10:10" ht="15.75" customHeight="1">
      <c r="J323" s="6"/>
    </row>
    <row r="324" spans="10:10" ht="15.75" customHeight="1">
      <c r="J324" s="6"/>
    </row>
    <row r="325" spans="10:10" ht="15.75" customHeight="1">
      <c r="J325" s="6"/>
    </row>
    <row r="326" spans="10:10" ht="15.75" customHeight="1">
      <c r="J326" s="6"/>
    </row>
    <row r="327" spans="10:10" ht="15.75" customHeight="1">
      <c r="J327" s="6"/>
    </row>
    <row r="328" spans="10:10" ht="15.75" customHeight="1">
      <c r="J328" s="6"/>
    </row>
    <row r="329" spans="10:10" ht="15.75" customHeight="1">
      <c r="J329" s="6"/>
    </row>
    <row r="330" spans="10:10" ht="15.75" customHeight="1">
      <c r="J330" s="6"/>
    </row>
    <row r="331" spans="10:10" ht="15.75" customHeight="1">
      <c r="J331" s="6"/>
    </row>
    <row r="332" spans="10:10" ht="15.75" customHeight="1">
      <c r="J332" s="6"/>
    </row>
    <row r="333" spans="10:10" ht="15.75" customHeight="1">
      <c r="J333" s="6"/>
    </row>
    <row r="334" spans="10:10" ht="15.75" customHeight="1">
      <c r="J334" s="6"/>
    </row>
    <row r="335" spans="10:10" ht="15.75" customHeight="1">
      <c r="J335" s="6"/>
    </row>
    <row r="336" spans="10:10" ht="15.75" customHeight="1">
      <c r="J336" s="6"/>
    </row>
    <row r="337" spans="10:10" ht="15.75" customHeight="1">
      <c r="J337" s="6"/>
    </row>
    <row r="338" spans="10:10" ht="15.75" customHeight="1">
      <c r="J338" s="6"/>
    </row>
    <row r="339" spans="10:10" ht="15.75" customHeight="1">
      <c r="J339" s="6"/>
    </row>
    <row r="340" spans="10:10" ht="15.75" customHeight="1">
      <c r="J340" s="6"/>
    </row>
    <row r="341" spans="10:10" ht="15.75" customHeight="1">
      <c r="J341" s="6"/>
    </row>
    <row r="342" spans="10:10" ht="15.75" customHeight="1">
      <c r="J342" s="6"/>
    </row>
    <row r="343" spans="10:10" ht="15.75" customHeight="1">
      <c r="J343" s="6"/>
    </row>
    <row r="344" spans="10:10" ht="15.75" customHeight="1">
      <c r="J344" s="6"/>
    </row>
    <row r="345" spans="10:10" ht="15.75" customHeight="1">
      <c r="J345" s="6"/>
    </row>
    <row r="346" spans="10:10" ht="15.75" customHeight="1">
      <c r="J346" s="6"/>
    </row>
    <row r="347" spans="10:10" ht="15.75" customHeight="1">
      <c r="J347" s="6"/>
    </row>
    <row r="348" spans="10:10" ht="15.75" customHeight="1">
      <c r="J348" s="6"/>
    </row>
    <row r="349" spans="10:10" ht="15.75" customHeight="1">
      <c r="J349" s="6"/>
    </row>
    <row r="350" spans="10:10" ht="15.75" customHeight="1">
      <c r="J350" s="6"/>
    </row>
    <row r="351" spans="10:10" ht="15.75" customHeight="1">
      <c r="J351" s="6"/>
    </row>
    <row r="352" spans="10:10" ht="15.75" customHeight="1">
      <c r="J352" s="6"/>
    </row>
    <row r="353" spans="10:10" ht="15.75" customHeight="1">
      <c r="J353" s="6"/>
    </row>
    <row r="354" spans="10:10" ht="15.75" customHeight="1">
      <c r="J354" s="6"/>
    </row>
    <row r="355" spans="10:10" ht="15.75" customHeight="1">
      <c r="J355" s="6"/>
    </row>
    <row r="356" spans="10:10" ht="15.75" customHeight="1">
      <c r="J356" s="6"/>
    </row>
    <row r="357" spans="10:10" ht="15.75" customHeight="1">
      <c r="J357" s="6"/>
    </row>
    <row r="358" spans="10:10" ht="15.75" customHeight="1">
      <c r="J358" s="6"/>
    </row>
    <row r="359" spans="10:10" ht="15.75" customHeight="1">
      <c r="J359" s="6"/>
    </row>
    <row r="360" spans="10:10" ht="15.75" customHeight="1">
      <c r="J360" s="6"/>
    </row>
    <row r="361" spans="10:10" ht="15.75" customHeight="1">
      <c r="J361" s="6"/>
    </row>
    <row r="362" spans="10:10" ht="15.75" customHeight="1">
      <c r="J362" s="6"/>
    </row>
    <row r="363" spans="10:10" ht="15.75" customHeight="1">
      <c r="J363" s="6"/>
    </row>
    <row r="364" spans="10:10" ht="15.75" customHeight="1">
      <c r="J364" s="6"/>
    </row>
    <row r="365" spans="10:10" ht="15.75" customHeight="1">
      <c r="J365" s="6"/>
    </row>
    <row r="366" spans="10:10" ht="15.75" customHeight="1">
      <c r="J366" s="6"/>
    </row>
    <row r="367" spans="10:10" ht="15.75" customHeight="1">
      <c r="J367" s="6"/>
    </row>
    <row r="368" spans="10:10" ht="15.75" customHeight="1">
      <c r="J368" s="6"/>
    </row>
    <row r="369" spans="10:10" ht="15.75" customHeight="1">
      <c r="J369" s="6"/>
    </row>
    <row r="370" spans="10:10" ht="15.75" customHeight="1">
      <c r="J370" s="6"/>
    </row>
    <row r="371" spans="10:10" ht="15.75" customHeight="1">
      <c r="J371" s="6"/>
    </row>
    <row r="372" spans="10:10" ht="15.75" customHeight="1">
      <c r="J372" s="6"/>
    </row>
    <row r="373" spans="10:10" ht="15.75" customHeight="1">
      <c r="J373" s="6"/>
    </row>
    <row r="374" spans="10:10" ht="15.75" customHeight="1">
      <c r="J374" s="6"/>
    </row>
    <row r="375" spans="10:10" ht="15.75" customHeight="1">
      <c r="J375" s="6"/>
    </row>
    <row r="376" spans="10:10" ht="15.75" customHeight="1">
      <c r="J376" s="6"/>
    </row>
    <row r="377" spans="10:10" ht="15.75" customHeight="1">
      <c r="J377" s="6"/>
    </row>
    <row r="378" spans="10:10" ht="15.75" customHeight="1">
      <c r="J378" s="6"/>
    </row>
    <row r="379" spans="10:10" ht="15.75" customHeight="1">
      <c r="J379" s="6"/>
    </row>
    <row r="380" spans="10:10" ht="15.75" customHeight="1">
      <c r="J380" s="6"/>
    </row>
    <row r="381" spans="10:10" ht="15.75" customHeight="1">
      <c r="J381" s="6"/>
    </row>
    <row r="382" spans="10:10" ht="15.75" customHeight="1">
      <c r="J382" s="6"/>
    </row>
    <row r="383" spans="10:10" ht="15.75" customHeight="1">
      <c r="J383" s="6"/>
    </row>
    <row r="384" spans="10:10" ht="15.75" customHeight="1">
      <c r="J384" s="6"/>
    </row>
    <row r="385" spans="10:10" ht="15.75" customHeight="1">
      <c r="J385" s="6"/>
    </row>
    <row r="386" spans="10:10" ht="15.75" customHeight="1">
      <c r="J386" s="6"/>
    </row>
    <row r="387" spans="10:10" ht="15.75" customHeight="1">
      <c r="J387" s="6"/>
    </row>
    <row r="388" spans="10:10" ht="15.75" customHeight="1">
      <c r="J388" s="6"/>
    </row>
    <row r="389" spans="10:10" ht="15.75" customHeight="1">
      <c r="J389" s="6"/>
    </row>
    <row r="390" spans="10:10" ht="15.75" customHeight="1">
      <c r="J390" s="6"/>
    </row>
    <row r="391" spans="10:10" ht="15.75" customHeight="1">
      <c r="J391" s="6"/>
    </row>
    <row r="392" spans="10:10" ht="15.75" customHeight="1">
      <c r="J392" s="6"/>
    </row>
    <row r="393" spans="10:10" ht="15.75" customHeight="1">
      <c r="J393" s="6"/>
    </row>
    <row r="394" spans="10:10" ht="15.75" customHeight="1">
      <c r="J394" s="6"/>
    </row>
    <row r="395" spans="10:10" ht="15.75" customHeight="1">
      <c r="J395" s="6"/>
    </row>
    <row r="396" spans="10:10" ht="15.75" customHeight="1">
      <c r="J396" s="6"/>
    </row>
    <row r="397" spans="10:10" ht="15.75" customHeight="1">
      <c r="J397" s="6"/>
    </row>
    <row r="398" spans="10:10" ht="15.75" customHeight="1">
      <c r="J398" s="6"/>
    </row>
    <row r="399" spans="10:10" ht="15.75" customHeight="1">
      <c r="J399" s="6"/>
    </row>
    <row r="400" spans="10:10" ht="15.75" customHeight="1">
      <c r="J400" s="6"/>
    </row>
    <row r="401" spans="10:10" ht="15.75" customHeight="1">
      <c r="J401" s="6"/>
    </row>
    <row r="402" spans="10:10" ht="15.75" customHeight="1">
      <c r="J402" s="6"/>
    </row>
    <row r="403" spans="10:10" ht="15.75" customHeight="1">
      <c r="J403" s="6"/>
    </row>
    <row r="404" spans="10:10" ht="15.75" customHeight="1">
      <c r="J404" s="6"/>
    </row>
    <row r="405" spans="10:10" ht="15.75" customHeight="1">
      <c r="J405" s="6"/>
    </row>
    <row r="406" spans="10:10" ht="15.75" customHeight="1">
      <c r="J406" s="6"/>
    </row>
    <row r="407" spans="10:10" ht="15.75" customHeight="1">
      <c r="J407" s="6"/>
    </row>
    <row r="408" spans="10:10" ht="15.75" customHeight="1">
      <c r="J408" s="6"/>
    </row>
    <row r="409" spans="10:10" ht="15.75" customHeight="1">
      <c r="J409" s="6"/>
    </row>
    <row r="410" spans="10:10" ht="15.75" customHeight="1">
      <c r="J410" s="6"/>
    </row>
    <row r="411" spans="10:10" ht="15.75" customHeight="1">
      <c r="J411" s="6"/>
    </row>
    <row r="412" spans="10:10" ht="15.75" customHeight="1">
      <c r="J412" s="6"/>
    </row>
    <row r="413" spans="10:10" ht="15.75" customHeight="1">
      <c r="J413" s="6"/>
    </row>
    <row r="414" spans="10:10" ht="15.75" customHeight="1">
      <c r="J414" s="6"/>
    </row>
    <row r="415" spans="10:10" ht="15.75" customHeight="1">
      <c r="J415" s="6"/>
    </row>
    <row r="416" spans="10:10" ht="15.75" customHeight="1">
      <c r="J416" s="6"/>
    </row>
    <row r="417" spans="10:10" ht="15.75" customHeight="1">
      <c r="J417" s="6"/>
    </row>
    <row r="418" spans="10:10" ht="15.75" customHeight="1">
      <c r="J418" s="6"/>
    </row>
    <row r="419" spans="10:10" ht="15.75" customHeight="1">
      <c r="J419" s="6"/>
    </row>
    <row r="420" spans="10:10" ht="15.75" customHeight="1">
      <c r="J420" s="6"/>
    </row>
    <row r="421" spans="10:10" ht="15.75" customHeight="1">
      <c r="J421" s="6"/>
    </row>
    <row r="422" spans="10:10" ht="15.75" customHeight="1">
      <c r="J422" s="6"/>
    </row>
    <row r="423" spans="10:10" ht="15.75" customHeight="1">
      <c r="J423" s="6"/>
    </row>
    <row r="424" spans="10:10" ht="15.75" customHeight="1">
      <c r="J424" s="6"/>
    </row>
    <row r="425" spans="10:10" ht="15.75" customHeight="1">
      <c r="J425" s="6"/>
    </row>
    <row r="426" spans="10:10" ht="15.75" customHeight="1">
      <c r="J426" s="6"/>
    </row>
    <row r="427" spans="10:10" ht="15.75" customHeight="1">
      <c r="J427" s="6"/>
    </row>
    <row r="428" spans="10:10" ht="15.75" customHeight="1">
      <c r="J428" s="6"/>
    </row>
    <row r="429" spans="10:10" ht="15.75" customHeight="1">
      <c r="J429" s="6"/>
    </row>
    <row r="430" spans="10:10" ht="15.75" customHeight="1">
      <c r="J430" s="6"/>
    </row>
    <row r="431" spans="10:10" ht="15.75" customHeight="1">
      <c r="J431" s="6"/>
    </row>
    <row r="432" spans="10:10" ht="15.75" customHeight="1">
      <c r="J432" s="6"/>
    </row>
    <row r="433" spans="10:10" ht="15.75" customHeight="1">
      <c r="J433" s="6"/>
    </row>
    <row r="434" spans="10:10" ht="15.75" customHeight="1">
      <c r="J434" s="6"/>
    </row>
    <row r="435" spans="10:10" ht="15.75" customHeight="1">
      <c r="J435" s="6"/>
    </row>
    <row r="436" spans="10:10" ht="15.75" customHeight="1">
      <c r="J436" s="6"/>
    </row>
    <row r="437" spans="10:10" ht="15.75" customHeight="1">
      <c r="J437" s="6"/>
    </row>
    <row r="438" spans="10:10" ht="15.75" customHeight="1">
      <c r="J438" s="6"/>
    </row>
    <row r="439" spans="10:10" ht="15.75" customHeight="1">
      <c r="J439" s="6"/>
    </row>
    <row r="440" spans="10:10" ht="15.75" customHeight="1">
      <c r="J440" s="6"/>
    </row>
    <row r="441" spans="10:10" ht="15.75" customHeight="1">
      <c r="J441" s="6"/>
    </row>
    <row r="442" spans="10:10" ht="15.75" customHeight="1">
      <c r="J442" s="6"/>
    </row>
    <row r="443" spans="10:10" ht="15.75" customHeight="1">
      <c r="J443" s="6"/>
    </row>
    <row r="444" spans="10:10" ht="15.75" customHeight="1">
      <c r="J444" s="6"/>
    </row>
    <row r="445" spans="10:10" ht="15.75" customHeight="1">
      <c r="J445" s="6"/>
    </row>
    <row r="446" spans="10:10" ht="15.75" customHeight="1">
      <c r="J446" s="6"/>
    </row>
    <row r="447" spans="10:10" ht="15.75" customHeight="1">
      <c r="J447" s="6"/>
    </row>
    <row r="448" spans="10:10" ht="15.75" customHeight="1">
      <c r="J448" s="6"/>
    </row>
    <row r="449" spans="10:10" ht="15.75" customHeight="1">
      <c r="J449" s="6"/>
    </row>
    <row r="450" spans="10:10" ht="15.75" customHeight="1">
      <c r="J450" s="6"/>
    </row>
    <row r="451" spans="10:10" ht="15.75" customHeight="1">
      <c r="J451" s="6"/>
    </row>
    <row r="452" spans="10:10" ht="15.75" customHeight="1">
      <c r="J452" s="6"/>
    </row>
    <row r="453" spans="10:10" ht="15.75" customHeight="1">
      <c r="J453" s="6"/>
    </row>
    <row r="454" spans="10:10" ht="15.75" customHeight="1">
      <c r="J454" s="6"/>
    </row>
    <row r="455" spans="10:10" ht="15.75" customHeight="1">
      <c r="J455" s="6"/>
    </row>
    <row r="456" spans="10:10" ht="15.75" customHeight="1">
      <c r="J456" s="6"/>
    </row>
    <row r="457" spans="10:10" ht="15.75" customHeight="1">
      <c r="J457" s="6"/>
    </row>
    <row r="458" spans="10:10" ht="15.75" customHeight="1">
      <c r="J458" s="6"/>
    </row>
    <row r="459" spans="10:10" ht="15.75" customHeight="1">
      <c r="J459" s="6"/>
    </row>
    <row r="460" spans="10:10" ht="15.75" customHeight="1">
      <c r="J460" s="6"/>
    </row>
    <row r="461" spans="10:10" ht="15.75" customHeight="1">
      <c r="J461" s="6"/>
    </row>
    <row r="462" spans="10:10" ht="15.75" customHeight="1">
      <c r="J462" s="6"/>
    </row>
    <row r="463" spans="10:10" ht="15.75" customHeight="1">
      <c r="J463" s="6"/>
    </row>
    <row r="464" spans="10:10" ht="15.75" customHeight="1">
      <c r="J464" s="6"/>
    </row>
    <row r="465" spans="10:10" ht="15.75" customHeight="1">
      <c r="J465" s="6"/>
    </row>
    <row r="466" spans="10:10" ht="15.75" customHeight="1">
      <c r="J466" s="6"/>
    </row>
    <row r="467" spans="10:10" ht="15.75" customHeight="1">
      <c r="J467" s="6"/>
    </row>
    <row r="468" spans="10:10" ht="15.75" customHeight="1">
      <c r="J468" s="6"/>
    </row>
    <row r="469" spans="10:10" ht="15.75" customHeight="1">
      <c r="J469" s="6"/>
    </row>
    <row r="470" spans="10:10" ht="15.75" customHeight="1">
      <c r="J470" s="6"/>
    </row>
    <row r="471" spans="10:10" ht="15.75" customHeight="1">
      <c r="J471" s="6"/>
    </row>
    <row r="472" spans="10:10" ht="15.75" customHeight="1">
      <c r="J472" s="6"/>
    </row>
    <row r="473" spans="10:10" ht="15.75" customHeight="1">
      <c r="J473" s="6"/>
    </row>
    <row r="474" spans="10:10" ht="15.75" customHeight="1">
      <c r="J474" s="6"/>
    </row>
    <row r="475" spans="10:10" ht="15.75" customHeight="1">
      <c r="J475" s="6"/>
    </row>
    <row r="476" spans="10:10" ht="15.75" customHeight="1">
      <c r="J476" s="6"/>
    </row>
    <row r="477" spans="10:10" ht="15.75" customHeight="1">
      <c r="J477" s="6"/>
    </row>
    <row r="478" spans="10:10" ht="15.75" customHeight="1">
      <c r="J478" s="6"/>
    </row>
    <row r="479" spans="10:10" ht="15.75" customHeight="1">
      <c r="J479" s="6"/>
    </row>
    <row r="480" spans="10:10" ht="15.75" customHeight="1">
      <c r="J480" s="6"/>
    </row>
    <row r="481" spans="10:10" ht="15.75" customHeight="1">
      <c r="J481" s="6"/>
    </row>
    <row r="482" spans="10:10" ht="15.75" customHeight="1">
      <c r="J482" s="6"/>
    </row>
    <row r="483" spans="10:10" ht="15.75" customHeight="1">
      <c r="J483" s="6"/>
    </row>
    <row r="484" spans="10:10" ht="15.75" customHeight="1">
      <c r="J484" s="6"/>
    </row>
    <row r="485" spans="10:10" ht="15.75" customHeight="1">
      <c r="J485" s="6"/>
    </row>
    <row r="486" spans="10:10" ht="15.75" customHeight="1">
      <c r="J486" s="6"/>
    </row>
    <row r="487" spans="10:10" ht="15.75" customHeight="1">
      <c r="J487" s="6"/>
    </row>
    <row r="488" spans="10:10" ht="15.75" customHeight="1">
      <c r="J488" s="6"/>
    </row>
    <row r="489" spans="10:10" ht="15.75" customHeight="1">
      <c r="J489" s="6"/>
    </row>
    <row r="490" spans="10:10" ht="15.75" customHeight="1">
      <c r="J490" s="6"/>
    </row>
    <row r="491" spans="10:10" ht="15.75" customHeight="1">
      <c r="J491" s="6"/>
    </row>
    <row r="492" spans="10:10" ht="15.75" customHeight="1">
      <c r="J492" s="6"/>
    </row>
    <row r="493" spans="10:10" ht="15.75" customHeight="1">
      <c r="J493" s="6"/>
    </row>
    <row r="494" spans="10:10" ht="15.75" customHeight="1">
      <c r="J494" s="6"/>
    </row>
    <row r="495" spans="10:10" ht="15.75" customHeight="1">
      <c r="J495" s="6"/>
    </row>
    <row r="496" spans="10:10" ht="15.75" customHeight="1">
      <c r="J496" s="6"/>
    </row>
    <row r="497" spans="10:10" ht="15.75" customHeight="1">
      <c r="J497" s="6"/>
    </row>
    <row r="498" spans="10:10" ht="15.75" customHeight="1">
      <c r="J498" s="6"/>
    </row>
    <row r="499" spans="10:10" ht="15.75" customHeight="1">
      <c r="J499" s="6"/>
    </row>
    <row r="500" spans="10:10" ht="15.75" customHeight="1">
      <c r="J500" s="6"/>
    </row>
    <row r="501" spans="10:10" ht="15.75" customHeight="1">
      <c r="J501" s="6"/>
    </row>
    <row r="502" spans="10:10" ht="15.75" customHeight="1">
      <c r="J502" s="6"/>
    </row>
    <row r="503" spans="10:10" ht="15.75" customHeight="1">
      <c r="J503" s="6"/>
    </row>
    <row r="504" spans="10:10" ht="15.75" customHeight="1">
      <c r="J504" s="6"/>
    </row>
    <row r="505" spans="10:10" ht="15.75" customHeight="1">
      <c r="J505" s="6"/>
    </row>
    <row r="506" spans="10:10" ht="15.75" customHeight="1">
      <c r="J506" s="6"/>
    </row>
    <row r="507" spans="10:10" ht="15.75" customHeight="1">
      <c r="J507" s="6"/>
    </row>
    <row r="508" spans="10:10" ht="15.75" customHeight="1">
      <c r="J508" s="6"/>
    </row>
    <row r="509" spans="10:10" ht="15.75" customHeight="1">
      <c r="J509" s="6"/>
    </row>
    <row r="510" spans="10:10" ht="15.75" customHeight="1">
      <c r="J510" s="6"/>
    </row>
    <row r="511" spans="10:10" ht="15.75" customHeight="1">
      <c r="J511" s="6"/>
    </row>
    <row r="512" spans="10:10" ht="15.75" customHeight="1">
      <c r="J512" s="6"/>
    </row>
    <row r="513" spans="10:10" ht="15.75" customHeight="1">
      <c r="J513" s="6"/>
    </row>
    <row r="514" spans="10:10" ht="15.75" customHeight="1">
      <c r="J514" s="6"/>
    </row>
    <row r="515" spans="10:10" ht="15.75" customHeight="1">
      <c r="J515" s="6"/>
    </row>
    <row r="516" spans="10:10" ht="15.75" customHeight="1">
      <c r="J516" s="6"/>
    </row>
    <row r="517" spans="10:10" ht="15.75" customHeight="1">
      <c r="J517" s="6"/>
    </row>
    <row r="518" spans="10:10" ht="15.75" customHeight="1">
      <c r="J518" s="6"/>
    </row>
    <row r="519" spans="10:10" ht="15.75" customHeight="1">
      <c r="J519" s="6"/>
    </row>
    <row r="520" spans="10:10" ht="15.75" customHeight="1">
      <c r="J520" s="6"/>
    </row>
    <row r="521" spans="10:10" ht="15.75" customHeight="1">
      <c r="J521" s="6"/>
    </row>
    <row r="522" spans="10:10" ht="15.75" customHeight="1">
      <c r="J522" s="6"/>
    </row>
    <row r="523" spans="10:10" ht="15.75" customHeight="1">
      <c r="J523" s="6"/>
    </row>
    <row r="524" spans="10:10" ht="15.75" customHeight="1">
      <c r="J524" s="6"/>
    </row>
    <row r="525" spans="10:10" ht="15.75" customHeight="1">
      <c r="J525" s="6"/>
    </row>
    <row r="526" spans="10:10" ht="15.75" customHeight="1">
      <c r="J526" s="6"/>
    </row>
    <row r="527" spans="10:10" ht="15.75" customHeight="1">
      <c r="J527" s="6"/>
    </row>
    <row r="528" spans="10:10" ht="15.75" customHeight="1">
      <c r="J528" s="6"/>
    </row>
    <row r="529" spans="10:10" ht="15.75" customHeight="1">
      <c r="J529" s="6"/>
    </row>
    <row r="530" spans="10:10" ht="15.75" customHeight="1">
      <c r="J530" s="6"/>
    </row>
    <row r="531" spans="10:10" ht="15.75" customHeight="1">
      <c r="J531" s="6"/>
    </row>
    <row r="532" spans="10:10" ht="15.75" customHeight="1">
      <c r="J532" s="6"/>
    </row>
    <row r="533" spans="10:10" ht="15.75" customHeight="1">
      <c r="J533" s="6"/>
    </row>
    <row r="534" spans="10:10" ht="15.75" customHeight="1">
      <c r="J534" s="6"/>
    </row>
    <row r="535" spans="10:10" ht="15.75" customHeight="1">
      <c r="J535" s="6"/>
    </row>
    <row r="536" spans="10:10" ht="15.75" customHeight="1">
      <c r="J536" s="6"/>
    </row>
    <row r="537" spans="10:10" ht="15.75" customHeight="1">
      <c r="J537" s="6"/>
    </row>
    <row r="538" spans="10:10" ht="15.75" customHeight="1">
      <c r="J538" s="6"/>
    </row>
    <row r="539" spans="10:10" ht="15.75" customHeight="1">
      <c r="J539" s="6"/>
    </row>
    <row r="540" spans="10:10" ht="15.75" customHeight="1">
      <c r="J540" s="6"/>
    </row>
    <row r="541" spans="10:10" ht="15.75" customHeight="1">
      <c r="J541" s="6"/>
    </row>
    <row r="542" spans="10:10" ht="15.75" customHeight="1">
      <c r="J542" s="6"/>
    </row>
    <row r="543" spans="10:10" ht="15.75" customHeight="1">
      <c r="J543" s="6"/>
    </row>
    <row r="544" spans="10:10" ht="15.75" customHeight="1">
      <c r="J544" s="6"/>
    </row>
    <row r="545" spans="10:10" ht="15.75" customHeight="1">
      <c r="J545" s="6"/>
    </row>
    <row r="546" spans="10:10" ht="15.75" customHeight="1">
      <c r="J546" s="6"/>
    </row>
    <row r="547" spans="10:10" ht="15.75" customHeight="1">
      <c r="J547" s="6"/>
    </row>
    <row r="548" spans="10:10" ht="15.75" customHeight="1">
      <c r="J548" s="6"/>
    </row>
    <row r="549" spans="10:10" ht="15.75" customHeight="1">
      <c r="J549" s="6"/>
    </row>
    <row r="550" spans="10:10" ht="15.75" customHeight="1">
      <c r="J550" s="6"/>
    </row>
    <row r="551" spans="10:10" ht="15.75" customHeight="1">
      <c r="J551" s="6"/>
    </row>
    <row r="552" spans="10:10" ht="15.75" customHeight="1">
      <c r="J552" s="6"/>
    </row>
    <row r="553" spans="10:10" ht="15.75" customHeight="1">
      <c r="J553" s="6"/>
    </row>
    <row r="554" spans="10:10" ht="15.75" customHeight="1">
      <c r="J554" s="6"/>
    </row>
    <row r="555" spans="10:10" ht="15.75" customHeight="1">
      <c r="J555" s="6"/>
    </row>
    <row r="556" spans="10:10" ht="15.75" customHeight="1">
      <c r="J556" s="6"/>
    </row>
    <row r="557" spans="10:10" ht="15.75" customHeight="1">
      <c r="J557" s="6"/>
    </row>
    <row r="558" spans="10:10" ht="15.75" customHeight="1">
      <c r="J558" s="6"/>
    </row>
    <row r="559" spans="10:10" ht="15.75" customHeight="1">
      <c r="J559" s="6"/>
    </row>
    <row r="560" spans="10:10" ht="15.75" customHeight="1">
      <c r="J560" s="6"/>
    </row>
    <row r="561" spans="10:10" ht="15.75" customHeight="1">
      <c r="J561" s="6"/>
    </row>
    <row r="562" spans="10:10" ht="15.75" customHeight="1">
      <c r="J562" s="6"/>
    </row>
    <row r="563" spans="10:10" ht="15.75" customHeight="1">
      <c r="J563" s="6"/>
    </row>
    <row r="564" spans="10:10" ht="15.75" customHeight="1">
      <c r="J564" s="6"/>
    </row>
    <row r="565" spans="10:10" ht="15.75" customHeight="1">
      <c r="J565" s="6"/>
    </row>
    <row r="566" spans="10:10" ht="15.75" customHeight="1">
      <c r="J566" s="6"/>
    </row>
    <row r="567" spans="10:10" ht="15.75" customHeight="1">
      <c r="J567" s="6"/>
    </row>
    <row r="568" spans="10:10" ht="15.75" customHeight="1">
      <c r="J568" s="6"/>
    </row>
    <row r="569" spans="10:10" ht="15.75" customHeight="1">
      <c r="J569" s="6"/>
    </row>
    <row r="570" spans="10:10" ht="15.75" customHeight="1">
      <c r="J570" s="6"/>
    </row>
    <row r="571" spans="10:10" ht="15.75" customHeight="1">
      <c r="J571" s="6"/>
    </row>
    <row r="572" spans="10:10" ht="15.75" customHeight="1">
      <c r="J572" s="6"/>
    </row>
    <row r="573" spans="10:10" ht="15.75" customHeight="1">
      <c r="J573" s="6"/>
    </row>
    <row r="574" spans="10:10" ht="15.75" customHeight="1">
      <c r="J574" s="6"/>
    </row>
    <row r="575" spans="10:10" ht="15.75" customHeight="1">
      <c r="J575" s="6"/>
    </row>
    <row r="576" spans="10:10" ht="15.75" customHeight="1">
      <c r="J576" s="6"/>
    </row>
    <row r="577" spans="10:10" ht="15.75" customHeight="1">
      <c r="J577" s="6"/>
    </row>
    <row r="578" spans="10:10" ht="15.75" customHeight="1">
      <c r="J578" s="6"/>
    </row>
    <row r="579" spans="10:10" ht="15.75" customHeight="1">
      <c r="J579" s="6"/>
    </row>
    <row r="580" spans="10:10" ht="15.75" customHeight="1">
      <c r="J580" s="6"/>
    </row>
    <row r="581" spans="10:10" ht="15.75" customHeight="1">
      <c r="J581" s="6"/>
    </row>
    <row r="582" spans="10:10" ht="15.75" customHeight="1">
      <c r="J582" s="6"/>
    </row>
    <row r="583" spans="10:10" ht="15.75" customHeight="1">
      <c r="J583" s="6"/>
    </row>
    <row r="584" spans="10:10" ht="15.75" customHeight="1">
      <c r="J584" s="6"/>
    </row>
    <row r="585" spans="10:10" ht="15.75" customHeight="1">
      <c r="J585" s="6"/>
    </row>
    <row r="586" spans="10:10" ht="15.75" customHeight="1">
      <c r="J586" s="6"/>
    </row>
    <row r="587" spans="10:10" ht="15.75" customHeight="1">
      <c r="J587" s="6"/>
    </row>
    <row r="588" spans="10:10" ht="15.75" customHeight="1">
      <c r="J588" s="6"/>
    </row>
    <row r="589" spans="10:10" ht="15.75" customHeight="1">
      <c r="J589" s="6"/>
    </row>
    <row r="590" spans="10:10" ht="15.75" customHeight="1">
      <c r="J590" s="6"/>
    </row>
    <row r="591" spans="10:10" ht="15.75" customHeight="1">
      <c r="J591" s="6"/>
    </row>
    <row r="592" spans="10:10" ht="15.75" customHeight="1">
      <c r="J592" s="6"/>
    </row>
    <row r="593" spans="10:10" ht="15.75" customHeight="1">
      <c r="J593" s="6"/>
    </row>
    <row r="594" spans="10:10" ht="15.75" customHeight="1">
      <c r="J594" s="6"/>
    </row>
    <row r="595" spans="10:10" ht="15.75" customHeight="1">
      <c r="J595" s="6"/>
    </row>
    <row r="596" spans="10:10" ht="15.75" customHeight="1">
      <c r="J596" s="6"/>
    </row>
    <row r="597" spans="10:10" ht="15.75" customHeight="1">
      <c r="J597" s="6"/>
    </row>
    <row r="598" spans="10:10" ht="15.75" customHeight="1">
      <c r="J598" s="6"/>
    </row>
    <row r="599" spans="10:10" ht="15.75" customHeight="1">
      <c r="J599" s="6"/>
    </row>
    <row r="600" spans="10:10" ht="15.75" customHeight="1">
      <c r="J600" s="6"/>
    </row>
    <row r="601" spans="10:10" ht="15.75" customHeight="1">
      <c r="J601" s="6"/>
    </row>
    <row r="602" spans="10:10" ht="15.75" customHeight="1">
      <c r="J602" s="6"/>
    </row>
    <row r="603" spans="10:10" ht="15.75" customHeight="1">
      <c r="J603" s="6"/>
    </row>
    <row r="604" spans="10:10" ht="15.75" customHeight="1">
      <c r="J604" s="6"/>
    </row>
    <row r="605" spans="10:10" ht="15.75" customHeight="1">
      <c r="J605" s="6"/>
    </row>
    <row r="606" spans="10:10" ht="15.75" customHeight="1">
      <c r="J606" s="6"/>
    </row>
    <row r="607" spans="10:10" ht="15.75" customHeight="1">
      <c r="J607" s="6"/>
    </row>
    <row r="608" spans="10:10" ht="15.75" customHeight="1">
      <c r="J608" s="6"/>
    </row>
    <row r="609" spans="10:10" ht="15.75" customHeight="1">
      <c r="J609" s="6"/>
    </row>
    <row r="610" spans="10:10" ht="15.75" customHeight="1">
      <c r="J610" s="6"/>
    </row>
    <row r="611" spans="10:10" ht="15.75" customHeight="1">
      <c r="J611" s="6"/>
    </row>
    <row r="612" spans="10:10" ht="15.75" customHeight="1">
      <c r="J612" s="6"/>
    </row>
    <row r="613" spans="10:10" ht="15.75" customHeight="1">
      <c r="J613" s="6"/>
    </row>
    <row r="614" spans="10:10" ht="15.75" customHeight="1">
      <c r="J614" s="6"/>
    </row>
    <row r="615" spans="10:10" ht="15.75" customHeight="1">
      <c r="J615" s="6"/>
    </row>
    <row r="616" spans="10:10" ht="15.75" customHeight="1">
      <c r="J616" s="6"/>
    </row>
    <row r="617" spans="10:10" ht="15.75" customHeight="1">
      <c r="J617" s="6"/>
    </row>
    <row r="618" spans="10:10" ht="15.75" customHeight="1">
      <c r="J618" s="6"/>
    </row>
    <row r="619" spans="10:10" ht="15.75" customHeight="1">
      <c r="J619" s="6"/>
    </row>
    <row r="620" spans="10:10" ht="15.75" customHeight="1">
      <c r="J620" s="6"/>
    </row>
    <row r="621" spans="10:10" ht="15.75" customHeight="1">
      <c r="J621" s="6"/>
    </row>
    <row r="622" spans="10:10" ht="15.75" customHeight="1">
      <c r="J622" s="6"/>
    </row>
    <row r="623" spans="10:10" ht="15.75" customHeight="1">
      <c r="J623" s="6"/>
    </row>
    <row r="624" spans="10:10" ht="15.75" customHeight="1">
      <c r="J624" s="6"/>
    </row>
    <row r="625" spans="10:10" ht="15.75" customHeight="1">
      <c r="J625" s="6"/>
    </row>
    <row r="626" spans="10:10" ht="15.75" customHeight="1">
      <c r="J626" s="6"/>
    </row>
    <row r="627" spans="10:10" ht="15.75" customHeight="1">
      <c r="J627" s="6"/>
    </row>
    <row r="628" spans="10:10" ht="15.75" customHeight="1">
      <c r="J628" s="6"/>
    </row>
    <row r="629" spans="10:10" ht="15.75" customHeight="1">
      <c r="J629" s="6"/>
    </row>
    <row r="630" spans="10:10" ht="15.75" customHeight="1">
      <c r="J630" s="6"/>
    </row>
    <row r="631" spans="10:10" ht="15.75" customHeight="1">
      <c r="J631" s="6"/>
    </row>
    <row r="632" spans="10:10" ht="15.75" customHeight="1">
      <c r="J632" s="6"/>
    </row>
    <row r="633" spans="10:10" ht="15.75" customHeight="1">
      <c r="J633" s="6"/>
    </row>
    <row r="634" spans="10:10" ht="15.75" customHeight="1">
      <c r="J634" s="6"/>
    </row>
    <row r="635" spans="10:10" ht="15.75" customHeight="1">
      <c r="J635" s="6"/>
    </row>
    <row r="636" spans="10:10" ht="15.75" customHeight="1">
      <c r="J636" s="6"/>
    </row>
    <row r="637" spans="10:10" ht="15.75" customHeight="1">
      <c r="J637" s="6"/>
    </row>
    <row r="638" spans="10:10" ht="15.75" customHeight="1">
      <c r="J638" s="6"/>
    </row>
    <row r="639" spans="10:10" ht="15.75" customHeight="1">
      <c r="J639" s="6"/>
    </row>
    <row r="640" spans="10:10" ht="15.75" customHeight="1">
      <c r="J640" s="6"/>
    </row>
    <row r="641" spans="10:10" ht="15.75" customHeight="1">
      <c r="J641" s="6"/>
    </row>
    <row r="642" spans="10:10" ht="15.75" customHeight="1">
      <c r="J642" s="6"/>
    </row>
    <row r="643" spans="10:10" ht="15.75" customHeight="1">
      <c r="J643" s="6"/>
    </row>
    <row r="644" spans="10:10" ht="15.75" customHeight="1">
      <c r="J644" s="6"/>
    </row>
    <row r="645" spans="10:10" ht="15.75" customHeight="1">
      <c r="J645" s="6"/>
    </row>
    <row r="646" spans="10:10" ht="15.75" customHeight="1">
      <c r="J646" s="6"/>
    </row>
    <row r="647" spans="10:10" ht="15.75" customHeight="1">
      <c r="J647" s="6"/>
    </row>
    <row r="648" spans="10:10" ht="15.75" customHeight="1">
      <c r="J648" s="6"/>
    </row>
    <row r="649" spans="10:10" ht="15.75" customHeight="1">
      <c r="J649" s="6"/>
    </row>
    <row r="650" spans="10:10" ht="15.75" customHeight="1">
      <c r="J650" s="6"/>
    </row>
    <row r="651" spans="10:10" ht="15.75" customHeight="1">
      <c r="J651" s="6"/>
    </row>
    <row r="652" spans="10:10" ht="15.75" customHeight="1">
      <c r="J652" s="6"/>
    </row>
    <row r="653" spans="10:10" ht="15.75" customHeight="1">
      <c r="J653" s="6"/>
    </row>
    <row r="654" spans="10:10" ht="15.75" customHeight="1">
      <c r="J654" s="6"/>
    </row>
    <row r="655" spans="10:10" ht="15.75" customHeight="1">
      <c r="J655" s="6"/>
    </row>
    <row r="656" spans="10:10" ht="15.75" customHeight="1">
      <c r="J656" s="6"/>
    </row>
    <row r="657" spans="10:10" ht="15.75" customHeight="1">
      <c r="J657" s="6"/>
    </row>
    <row r="658" spans="10:10" ht="15.75" customHeight="1">
      <c r="J658" s="6"/>
    </row>
    <row r="659" spans="10:10" ht="15.75" customHeight="1">
      <c r="J659" s="6"/>
    </row>
    <row r="660" spans="10:10" ht="15.75" customHeight="1">
      <c r="J660" s="6"/>
    </row>
    <row r="661" spans="10:10" ht="15.75" customHeight="1">
      <c r="J661" s="6"/>
    </row>
    <row r="662" spans="10:10" ht="15.75" customHeight="1">
      <c r="J662" s="6"/>
    </row>
    <row r="663" spans="10:10" ht="15.75" customHeight="1">
      <c r="J663" s="6"/>
    </row>
    <row r="664" spans="10:10" ht="15.75" customHeight="1">
      <c r="J664" s="6"/>
    </row>
    <row r="665" spans="10:10" ht="15.75" customHeight="1">
      <c r="J665" s="6"/>
    </row>
    <row r="666" spans="10:10" ht="15.75" customHeight="1">
      <c r="J666" s="6"/>
    </row>
    <row r="667" spans="10:10" ht="15.75" customHeight="1">
      <c r="J667" s="6"/>
    </row>
    <row r="668" spans="10:10" ht="15.75" customHeight="1">
      <c r="J668" s="6"/>
    </row>
    <row r="669" spans="10:10" ht="15.75" customHeight="1">
      <c r="J669" s="6"/>
    </row>
    <row r="670" spans="10:10" ht="15.75" customHeight="1">
      <c r="J670" s="6"/>
    </row>
    <row r="671" spans="10:10" ht="15.75" customHeight="1">
      <c r="J671" s="6"/>
    </row>
    <row r="672" spans="10:10" ht="15.75" customHeight="1">
      <c r="J672" s="6"/>
    </row>
    <row r="673" spans="10:10" ht="15.75" customHeight="1">
      <c r="J673" s="6"/>
    </row>
    <row r="674" spans="10:10" ht="15.75" customHeight="1">
      <c r="J674" s="6"/>
    </row>
    <row r="675" spans="10:10" ht="15.75" customHeight="1">
      <c r="J675" s="6"/>
    </row>
    <row r="676" spans="10:10" ht="15.75" customHeight="1">
      <c r="J676" s="6"/>
    </row>
    <row r="677" spans="10:10" ht="15.75" customHeight="1">
      <c r="J677" s="6"/>
    </row>
    <row r="678" spans="10:10" ht="15.75" customHeight="1">
      <c r="J678" s="6"/>
    </row>
    <row r="679" spans="10:10" ht="15.75" customHeight="1">
      <c r="J679" s="6"/>
    </row>
    <row r="680" spans="10:10" ht="15.75" customHeight="1">
      <c r="J680" s="6"/>
    </row>
    <row r="681" spans="10:10" ht="15.75" customHeight="1">
      <c r="J681" s="6"/>
    </row>
    <row r="682" spans="10:10" ht="15.75" customHeight="1">
      <c r="J682" s="6"/>
    </row>
    <row r="683" spans="10:10" ht="15.75" customHeight="1">
      <c r="J683" s="6"/>
    </row>
    <row r="684" spans="10:10" ht="15.75" customHeight="1">
      <c r="J684" s="6"/>
    </row>
    <row r="685" spans="10:10" ht="15.75" customHeight="1">
      <c r="J685" s="6"/>
    </row>
    <row r="686" spans="10:10" ht="15.75" customHeight="1">
      <c r="J686" s="6"/>
    </row>
    <row r="687" spans="10:10" ht="15.75" customHeight="1">
      <c r="J687" s="6"/>
    </row>
    <row r="688" spans="10:10" ht="15.75" customHeight="1">
      <c r="J688" s="6"/>
    </row>
    <row r="689" spans="10:10" ht="15.75" customHeight="1">
      <c r="J689" s="6"/>
    </row>
    <row r="690" spans="10:10" ht="15.75" customHeight="1">
      <c r="J690" s="6"/>
    </row>
    <row r="691" spans="10:10" ht="15.75" customHeight="1">
      <c r="J691" s="6"/>
    </row>
    <row r="692" spans="10:10" ht="15.75" customHeight="1">
      <c r="J692" s="6"/>
    </row>
    <row r="693" spans="10:10" ht="15.75" customHeight="1">
      <c r="J693" s="6"/>
    </row>
    <row r="694" spans="10:10" ht="15.75" customHeight="1">
      <c r="J694" s="6"/>
    </row>
    <row r="695" spans="10:10" ht="15.75" customHeight="1">
      <c r="J695" s="6"/>
    </row>
    <row r="696" spans="10:10" ht="15.75" customHeight="1">
      <c r="J696" s="6"/>
    </row>
    <row r="697" spans="10:10" ht="15.75" customHeight="1">
      <c r="J697" s="6"/>
    </row>
    <row r="698" spans="10:10" ht="15.75" customHeight="1">
      <c r="J698" s="6"/>
    </row>
    <row r="699" spans="10:10" ht="15.75" customHeight="1">
      <c r="J699" s="6"/>
    </row>
    <row r="700" spans="10:10" ht="15.75" customHeight="1">
      <c r="J700" s="6"/>
    </row>
    <row r="701" spans="10:10" ht="15.75" customHeight="1">
      <c r="J701" s="6"/>
    </row>
    <row r="702" spans="10:10" ht="15.75" customHeight="1">
      <c r="J702" s="6"/>
    </row>
    <row r="703" spans="10:10" ht="15.75" customHeight="1">
      <c r="J703" s="6"/>
    </row>
    <row r="704" spans="10:10" ht="15.75" customHeight="1">
      <c r="J704" s="6"/>
    </row>
    <row r="705" spans="10:10" ht="15.75" customHeight="1">
      <c r="J705" s="6"/>
    </row>
    <row r="706" spans="10:10" ht="15.75" customHeight="1">
      <c r="J706" s="6"/>
    </row>
    <row r="707" spans="10:10" ht="15.75" customHeight="1">
      <c r="J707" s="6"/>
    </row>
    <row r="708" spans="10:10" ht="15.75" customHeight="1">
      <c r="J708" s="6"/>
    </row>
    <row r="709" spans="10:10" ht="15.75" customHeight="1">
      <c r="J709" s="6"/>
    </row>
    <row r="710" spans="10:10" ht="15.75" customHeight="1">
      <c r="J710" s="6"/>
    </row>
    <row r="711" spans="10:10" ht="15.75" customHeight="1">
      <c r="J711" s="6"/>
    </row>
    <row r="712" spans="10:10" ht="15.75" customHeight="1">
      <c r="J712" s="6"/>
    </row>
    <row r="713" spans="10:10" ht="15.75" customHeight="1">
      <c r="J713" s="6"/>
    </row>
    <row r="714" spans="10:10" ht="15.75" customHeight="1">
      <c r="J714" s="6"/>
    </row>
    <row r="715" spans="10:10" ht="15.75" customHeight="1">
      <c r="J715" s="6"/>
    </row>
    <row r="716" spans="10:10" ht="15.75" customHeight="1">
      <c r="J716" s="6"/>
    </row>
    <row r="717" spans="10:10" ht="15.75" customHeight="1">
      <c r="J717" s="6"/>
    </row>
    <row r="718" spans="10:10" ht="15.75" customHeight="1">
      <c r="J718" s="6"/>
    </row>
    <row r="719" spans="10:10" ht="15.75" customHeight="1">
      <c r="J719" s="6"/>
    </row>
    <row r="720" spans="10:10" ht="15.75" customHeight="1">
      <c r="J720" s="6"/>
    </row>
    <row r="721" spans="10:10" ht="15.75" customHeight="1">
      <c r="J721" s="6"/>
    </row>
    <row r="722" spans="10:10" ht="15.75" customHeight="1">
      <c r="J722" s="6"/>
    </row>
    <row r="723" spans="10:10" ht="15.75" customHeight="1">
      <c r="J723" s="6"/>
    </row>
    <row r="724" spans="10:10" ht="15.75" customHeight="1">
      <c r="J724" s="6"/>
    </row>
    <row r="725" spans="10:10" ht="15.75" customHeight="1">
      <c r="J725" s="6"/>
    </row>
    <row r="726" spans="10:10" ht="15.75" customHeight="1">
      <c r="J726" s="6"/>
    </row>
    <row r="727" spans="10:10" ht="15.75" customHeight="1">
      <c r="J727" s="6"/>
    </row>
    <row r="728" spans="10:10" ht="15.75" customHeight="1">
      <c r="J728" s="6"/>
    </row>
    <row r="729" spans="10:10" ht="15.75" customHeight="1">
      <c r="J729" s="6"/>
    </row>
    <row r="730" spans="10:10" ht="15.75" customHeight="1">
      <c r="J730" s="6"/>
    </row>
    <row r="731" spans="10:10" ht="15.75" customHeight="1">
      <c r="J731" s="6"/>
    </row>
    <row r="732" spans="10:10" ht="15.75" customHeight="1">
      <c r="J732" s="6"/>
    </row>
    <row r="733" spans="10:10" ht="15.75" customHeight="1">
      <c r="J733" s="6"/>
    </row>
    <row r="734" spans="10:10" ht="15.75" customHeight="1">
      <c r="J734" s="6"/>
    </row>
    <row r="735" spans="10:10" ht="15.75" customHeight="1">
      <c r="J735" s="6"/>
    </row>
    <row r="736" spans="10:10" ht="15.75" customHeight="1">
      <c r="J736" s="6"/>
    </row>
    <row r="737" spans="10:10" ht="15.75" customHeight="1">
      <c r="J737" s="6"/>
    </row>
    <row r="738" spans="10:10" ht="15.75" customHeight="1">
      <c r="J738" s="6"/>
    </row>
    <row r="739" spans="10:10" ht="15.75" customHeight="1">
      <c r="J739" s="6"/>
    </row>
    <row r="740" spans="10:10" ht="15.75" customHeight="1">
      <c r="J740" s="6"/>
    </row>
    <row r="741" spans="10:10" ht="15.75" customHeight="1">
      <c r="J741" s="6"/>
    </row>
    <row r="742" spans="10:10" ht="15.75" customHeight="1">
      <c r="J742" s="6"/>
    </row>
    <row r="743" spans="10:10" ht="15.75" customHeight="1">
      <c r="J743" s="6"/>
    </row>
    <row r="744" spans="10:10" ht="15.75" customHeight="1">
      <c r="J744" s="6"/>
    </row>
    <row r="745" spans="10:10" ht="15.75" customHeight="1">
      <c r="J745" s="6"/>
    </row>
    <row r="746" spans="10:10" ht="15.75" customHeight="1">
      <c r="J746" s="6"/>
    </row>
    <row r="747" spans="10:10" ht="15.75" customHeight="1">
      <c r="J747" s="6"/>
    </row>
    <row r="748" spans="10:10" ht="15.75" customHeight="1">
      <c r="J748" s="6"/>
    </row>
    <row r="749" spans="10:10" ht="15.75" customHeight="1">
      <c r="J749" s="6"/>
    </row>
    <row r="750" spans="10:10" ht="15.75" customHeight="1">
      <c r="J750" s="6"/>
    </row>
    <row r="751" spans="10:10" ht="15.75" customHeight="1">
      <c r="J751" s="6"/>
    </row>
    <row r="752" spans="10:10" ht="15.75" customHeight="1">
      <c r="J752" s="6"/>
    </row>
    <row r="753" spans="10:10" ht="15.75" customHeight="1">
      <c r="J753" s="6"/>
    </row>
    <row r="754" spans="10:10" ht="15.75" customHeight="1">
      <c r="J754" s="6"/>
    </row>
    <row r="755" spans="10:10" ht="15.75" customHeight="1">
      <c r="J755" s="6"/>
    </row>
    <row r="756" spans="10:10" ht="15.75" customHeight="1">
      <c r="J756" s="6"/>
    </row>
    <row r="757" spans="10:10" ht="15.75" customHeight="1">
      <c r="J757" s="6"/>
    </row>
    <row r="758" spans="10:10" ht="15.75" customHeight="1">
      <c r="J758" s="6"/>
    </row>
    <row r="759" spans="10:10" ht="15.75" customHeight="1">
      <c r="J759" s="6"/>
    </row>
    <row r="760" spans="10:10" ht="15.75" customHeight="1">
      <c r="J760" s="6"/>
    </row>
    <row r="761" spans="10:10" ht="15.75" customHeight="1">
      <c r="J761" s="6"/>
    </row>
    <row r="762" spans="10:10" ht="15.75" customHeight="1">
      <c r="J762" s="6"/>
    </row>
    <row r="763" spans="10:10" ht="15.75" customHeight="1">
      <c r="J763" s="6"/>
    </row>
    <row r="764" spans="10:10" ht="15.75" customHeight="1">
      <c r="J764" s="6"/>
    </row>
    <row r="765" spans="10:10" ht="15.75" customHeight="1">
      <c r="J765" s="6"/>
    </row>
    <row r="766" spans="10:10" ht="15.75" customHeight="1">
      <c r="J766" s="6"/>
    </row>
    <row r="767" spans="10:10" ht="15.75" customHeight="1">
      <c r="J767" s="6"/>
    </row>
    <row r="768" spans="10:10" ht="15.75" customHeight="1">
      <c r="J768" s="6"/>
    </row>
    <row r="769" spans="10:10" ht="15.75" customHeight="1">
      <c r="J769" s="6"/>
    </row>
    <row r="770" spans="10:10" ht="15.75" customHeight="1">
      <c r="J770" s="6"/>
    </row>
    <row r="771" spans="10:10" ht="15.75" customHeight="1">
      <c r="J771" s="6"/>
    </row>
    <row r="772" spans="10:10" ht="15.75" customHeight="1">
      <c r="J772" s="6"/>
    </row>
    <row r="773" spans="10:10" ht="15.75" customHeight="1">
      <c r="J773" s="6"/>
    </row>
    <row r="774" spans="10:10" ht="15.75" customHeight="1">
      <c r="J774" s="6"/>
    </row>
    <row r="775" spans="10:10" ht="15.75" customHeight="1">
      <c r="J775" s="6"/>
    </row>
    <row r="776" spans="10:10" ht="15.75" customHeight="1">
      <c r="J776" s="6"/>
    </row>
    <row r="777" spans="10:10" ht="15.75" customHeight="1">
      <c r="J777" s="6"/>
    </row>
    <row r="778" spans="10:10" ht="15.75" customHeight="1">
      <c r="J778" s="6"/>
    </row>
    <row r="779" spans="10:10" ht="15.75" customHeight="1">
      <c r="J779" s="6"/>
    </row>
    <row r="780" spans="10:10" ht="15.75" customHeight="1">
      <c r="J780" s="6"/>
    </row>
    <row r="781" spans="10:10" ht="15.75" customHeight="1">
      <c r="J781" s="6"/>
    </row>
    <row r="782" spans="10:10" ht="15.75" customHeight="1">
      <c r="J782" s="6"/>
    </row>
    <row r="783" spans="10:10" ht="15.75" customHeight="1">
      <c r="J783" s="6"/>
    </row>
    <row r="784" spans="10:10" ht="15.75" customHeight="1">
      <c r="J784" s="6"/>
    </row>
    <row r="785" spans="10:10" ht="15.75" customHeight="1">
      <c r="J785" s="6"/>
    </row>
    <row r="786" spans="10:10" ht="15.75" customHeight="1">
      <c r="J786" s="6"/>
    </row>
    <row r="787" spans="10:10" ht="15.75" customHeight="1">
      <c r="J787" s="6"/>
    </row>
    <row r="788" spans="10:10" ht="15.75" customHeight="1">
      <c r="J788" s="6"/>
    </row>
    <row r="789" spans="10:10" ht="15.75" customHeight="1">
      <c r="J789" s="6"/>
    </row>
    <row r="790" spans="10:10" ht="15.75" customHeight="1">
      <c r="J790" s="6"/>
    </row>
    <row r="791" spans="10:10" ht="15.75" customHeight="1">
      <c r="J791" s="6"/>
    </row>
    <row r="792" spans="10:10" ht="15.75" customHeight="1">
      <c r="J792" s="6"/>
    </row>
    <row r="793" spans="10:10" ht="15.75" customHeight="1">
      <c r="J793" s="6"/>
    </row>
    <row r="794" spans="10:10" ht="15.75" customHeight="1">
      <c r="J794" s="6"/>
    </row>
    <row r="795" spans="10:10" ht="15.75" customHeight="1">
      <c r="J795" s="6"/>
    </row>
    <row r="796" spans="10:10" ht="15.75" customHeight="1">
      <c r="J796" s="6"/>
    </row>
    <row r="797" spans="10:10" ht="15.75" customHeight="1">
      <c r="J797" s="6"/>
    </row>
    <row r="798" spans="10:10" ht="15.75" customHeight="1">
      <c r="J798" s="6"/>
    </row>
    <row r="799" spans="10:10" ht="15.75" customHeight="1">
      <c r="J799" s="6"/>
    </row>
    <row r="800" spans="10:10" ht="15.75" customHeight="1">
      <c r="J800" s="6"/>
    </row>
    <row r="801" spans="10:10" ht="15.75" customHeight="1">
      <c r="J801" s="6"/>
    </row>
    <row r="802" spans="10:10" ht="15.75" customHeight="1">
      <c r="J802" s="6"/>
    </row>
    <row r="803" spans="10:10" ht="15.75" customHeight="1">
      <c r="J803" s="6"/>
    </row>
    <row r="804" spans="10:10" ht="15.75" customHeight="1">
      <c r="J804" s="6"/>
    </row>
    <row r="805" spans="10:10" ht="15.75" customHeight="1">
      <c r="J805" s="6"/>
    </row>
    <row r="806" spans="10:10" ht="15.75" customHeight="1">
      <c r="J806" s="6"/>
    </row>
    <row r="807" spans="10:10" ht="15.75" customHeight="1">
      <c r="J807" s="6"/>
    </row>
    <row r="808" spans="10:10" ht="15.75" customHeight="1">
      <c r="J808" s="6"/>
    </row>
    <row r="809" spans="10:10" ht="15.75" customHeight="1">
      <c r="J809" s="6"/>
    </row>
    <row r="810" spans="10:10" ht="15.75" customHeight="1">
      <c r="J810" s="6"/>
    </row>
    <row r="811" spans="10:10" ht="15.75" customHeight="1">
      <c r="J811" s="6"/>
    </row>
    <row r="812" spans="10:10" ht="15.75" customHeight="1">
      <c r="J812" s="6"/>
    </row>
    <row r="813" spans="10:10" ht="15.75" customHeight="1">
      <c r="J813" s="6"/>
    </row>
    <row r="814" spans="10:10" ht="15.75" customHeight="1">
      <c r="J814" s="6"/>
    </row>
    <row r="815" spans="10:10" ht="15.75" customHeight="1">
      <c r="J815" s="6"/>
    </row>
    <row r="816" spans="10:10" ht="15.75" customHeight="1">
      <c r="J816" s="6"/>
    </row>
    <row r="817" spans="10:10" ht="15.75" customHeight="1">
      <c r="J817" s="6"/>
    </row>
    <row r="818" spans="10:10" ht="15.75" customHeight="1">
      <c r="J818" s="6"/>
    </row>
    <row r="819" spans="10:10" ht="15.75" customHeight="1">
      <c r="J819" s="6"/>
    </row>
    <row r="820" spans="10:10" ht="15.75" customHeight="1">
      <c r="J820" s="6"/>
    </row>
    <row r="821" spans="10:10" ht="15.75" customHeight="1">
      <c r="J821" s="6"/>
    </row>
    <row r="822" spans="10:10" ht="15.75" customHeight="1">
      <c r="J822" s="6"/>
    </row>
    <row r="823" spans="10:10" ht="15.75" customHeight="1">
      <c r="J823" s="6"/>
    </row>
    <row r="824" spans="10:10" ht="15.75" customHeight="1">
      <c r="J824" s="6"/>
    </row>
    <row r="825" spans="10:10" ht="15.75" customHeight="1">
      <c r="J825" s="6"/>
    </row>
    <row r="826" spans="10:10" ht="15.75" customHeight="1">
      <c r="J826" s="6"/>
    </row>
    <row r="827" spans="10:10" ht="15.75" customHeight="1">
      <c r="J827" s="6"/>
    </row>
    <row r="828" spans="10:10" ht="15.75" customHeight="1">
      <c r="J828" s="6"/>
    </row>
    <row r="829" spans="10:10" ht="15.75" customHeight="1">
      <c r="J829" s="6"/>
    </row>
    <row r="830" spans="10:10" ht="15.75" customHeight="1">
      <c r="J830" s="6"/>
    </row>
    <row r="831" spans="10:10" ht="15.75" customHeight="1">
      <c r="J831" s="6"/>
    </row>
    <row r="832" spans="10:10" ht="15.75" customHeight="1">
      <c r="J832" s="6"/>
    </row>
    <row r="833" spans="10:10" ht="15.75" customHeight="1">
      <c r="J833" s="6"/>
    </row>
    <row r="834" spans="10:10" ht="15.75" customHeight="1">
      <c r="J834" s="6"/>
    </row>
    <row r="835" spans="10:10" ht="15.75" customHeight="1">
      <c r="J835" s="6"/>
    </row>
    <row r="836" spans="10:10" ht="15.75" customHeight="1">
      <c r="J836" s="6"/>
    </row>
    <row r="837" spans="10:10" ht="15.75" customHeight="1">
      <c r="J837" s="6"/>
    </row>
    <row r="838" spans="10:10" ht="15.75" customHeight="1">
      <c r="J838" s="6"/>
    </row>
    <row r="839" spans="10:10" ht="15.75" customHeight="1">
      <c r="J839" s="6"/>
    </row>
    <row r="840" spans="10:10" ht="15.75" customHeight="1">
      <c r="J840" s="6"/>
    </row>
    <row r="841" spans="10:10" ht="15.75" customHeight="1">
      <c r="J841" s="6"/>
    </row>
    <row r="842" spans="10:10" ht="15.75" customHeight="1">
      <c r="J842" s="6"/>
    </row>
    <row r="843" spans="10:10" ht="15.75" customHeight="1">
      <c r="J843" s="6"/>
    </row>
    <row r="844" spans="10:10" ht="15.75" customHeight="1">
      <c r="J844" s="6"/>
    </row>
    <row r="845" spans="10:10" ht="15.75" customHeight="1">
      <c r="J845" s="6"/>
    </row>
    <row r="846" spans="10:10" ht="15.75" customHeight="1">
      <c r="J846" s="6"/>
    </row>
    <row r="847" spans="10:10" ht="15.75" customHeight="1">
      <c r="J847" s="6"/>
    </row>
    <row r="848" spans="10:10" ht="15.75" customHeight="1">
      <c r="J848" s="6"/>
    </row>
    <row r="849" spans="10:10" ht="15.75" customHeight="1">
      <c r="J849" s="6"/>
    </row>
    <row r="850" spans="10:10" ht="15.75" customHeight="1">
      <c r="J850" s="6"/>
    </row>
    <row r="851" spans="10:10" ht="15.75" customHeight="1">
      <c r="J851" s="6"/>
    </row>
    <row r="852" spans="10:10" ht="15.75" customHeight="1">
      <c r="J852" s="6"/>
    </row>
    <row r="853" spans="10:10" ht="15.75" customHeight="1">
      <c r="J853" s="6"/>
    </row>
    <row r="854" spans="10:10" ht="15.75" customHeight="1">
      <c r="J854" s="6"/>
    </row>
    <row r="855" spans="10:10" ht="15.75" customHeight="1">
      <c r="J855" s="6"/>
    </row>
    <row r="856" spans="10:10" ht="15.75" customHeight="1">
      <c r="J856" s="6"/>
    </row>
    <row r="857" spans="10:10" ht="15.75" customHeight="1">
      <c r="J857" s="6"/>
    </row>
    <row r="858" spans="10:10" ht="15.75" customHeight="1">
      <c r="J858" s="6"/>
    </row>
    <row r="859" spans="10:10" ht="15.75" customHeight="1">
      <c r="J859" s="6"/>
    </row>
    <row r="860" spans="10:10" ht="15.75" customHeight="1">
      <c r="J860" s="6"/>
    </row>
    <row r="861" spans="10:10" ht="15.75" customHeight="1">
      <c r="J861" s="6"/>
    </row>
    <row r="862" spans="10:10" ht="15.75" customHeight="1">
      <c r="J862" s="6"/>
    </row>
    <row r="863" spans="10:10" ht="15.75" customHeight="1">
      <c r="J863" s="6"/>
    </row>
    <row r="864" spans="10:10" ht="15.75" customHeight="1">
      <c r="J864" s="6"/>
    </row>
    <row r="865" spans="10:10" ht="15.75" customHeight="1">
      <c r="J865" s="6"/>
    </row>
    <row r="866" spans="10:10" ht="15.75" customHeight="1">
      <c r="J866" s="6"/>
    </row>
    <row r="867" spans="10:10" ht="15.75" customHeight="1">
      <c r="J867" s="6"/>
    </row>
    <row r="868" spans="10:10" ht="15.75" customHeight="1">
      <c r="J868" s="6"/>
    </row>
    <row r="869" spans="10:10" ht="15.75" customHeight="1">
      <c r="J869" s="6"/>
    </row>
    <row r="870" spans="10:10" ht="15.75" customHeight="1">
      <c r="J870" s="6"/>
    </row>
    <row r="871" spans="10:10" ht="15.75" customHeight="1">
      <c r="J871" s="6"/>
    </row>
    <row r="872" spans="10:10" ht="15.75" customHeight="1">
      <c r="J872" s="6"/>
    </row>
    <row r="873" spans="10:10" ht="15.75" customHeight="1">
      <c r="J873" s="6"/>
    </row>
    <row r="874" spans="10:10" ht="15.75" customHeight="1">
      <c r="J874" s="6"/>
    </row>
    <row r="875" spans="10:10" ht="15.75" customHeight="1">
      <c r="J875" s="6"/>
    </row>
    <row r="876" spans="10:10" ht="15.75" customHeight="1">
      <c r="J876" s="6"/>
    </row>
    <row r="877" spans="10:10" ht="15.75" customHeight="1">
      <c r="J877" s="6"/>
    </row>
    <row r="878" spans="10:10" ht="15.75" customHeight="1">
      <c r="J878" s="6"/>
    </row>
    <row r="879" spans="10:10" ht="15.75" customHeight="1">
      <c r="J879" s="6"/>
    </row>
    <row r="880" spans="10:10" ht="15.75" customHeight="1">
      <c r="J880" s="6"/>
    </row>
    <row r="881" spans="10:10" ht="15.75" customHeight="1">
      <c r="J881" s="6"/>
    </row>
    <row r="882" spans="10:10" ht="15.75" customHeight="1">
      <c r="J882" s="6"/>
    </row>
    <row r="883" spans="10:10" ht="15.75" customHeight="1">
      <c r="J883" s="6"/>
    </row>
    <row r="884" spans="10:10" ht="15.75" customHeight="1">
      <c r="J884" s="6"/>
    </row>
    <row r="885" spans="10:10" ht="15.75" customHeight="1">
      <c r="J885" s="6"/>
    </row>
    <row r="886" spans="10:10" ht="15.75" customHeight="1">
      <c r="J886" s="6"/>
    </row>
    <row r="887" spans="10:10" ht="15.75" customHeight="1">
      <c r="J887" s="6"/>
    </row>
    <row r="888" spans="10:10" ht="15.75" customHeight="1">
      <c r="J888" s="6"/>
    </row>
    <row r="889" spans="10:10" ht="15.75" customHeight="1">
      <c r="J889" s="6"/>
    </row>
    <row r="890" spans="10:10" ht="15.75" customHeight="1">
      <c r="J890" s="6"/>
    </row>
    <row r="891" spans="10:10" ht="15.75" customHeight="1">
      <c r="J891" s="6"/>
    </row>
    <row r="892" spans="10:10" ht="15.75" customHeight="1">
      <c r="J892" s="6"/>
    </row>
    <row r="893" spans="10:10" ht="15.75" customHeight="1">
      <c r="J893" s="6"/>
    </row>
    <row r="894" spans="10:10" ht="15.75" customHeight="1">
      <c r="J894" s="6"/>
    </row>
    <row r="895" spans="10:10" ht="15.75" customHeight="1">
      <c r="J895" s="6"/>
    </row>
    <row r="896" spans="10:10" ht="15.75" customHeight="1">
      <c r="J896" s="6"/>
    </row>
    <row r="897" spans="10:10" ht="15.75" customHeight="1">
      <c r="J897" s="6"/>
    </row>
    <row r="898" spans="10:10" ht="15.75" customHeight="1">
      <c r="J898" s="6"/>
    </row>
    <row r="899" spans="10:10" ht="15.75" customHeight="1">
      <c r="J899" s="6"/>
    </row>
    <row r="900" spans="10:10" ht="15.75" customHeight="1">
      <c r="J900" s="6"/>
    </row>
    <row r="901" spans="10:10" ht="15.75" customHeight="1">
      <c r="J901" s="6"/>
    </row>
    <row r="902" spans="10:10" ht="15.75" customHeight="1">
      <c r="J902" s="6"/>
    </row>
    <row r="903" spans="10:10" ht="15.75" customHeight="1">
      <c r="J903" s="6"/>
    </row>
    <row r="904" spans="10:10" ht="15.75" customHeight="1">
      <c r="J904" s="6"/>
    </row>
    <row r="905" spans="10:10" ht="15.75" customHeight="1">
      <c r="J905" s="6"/>
    </row>
    <row r="906" spans="10:10" ht="15.75" customHeight="1">
      <c r="J906" s="6"/>
    </row>
    <row r="907" spans="10:10" ht="15.75" customHeight="1">
      <c r="J907" s="6"/>
    </row>
    <row r="908" spans="10:10" ht="15.75" customHeight="1">
      <c r="J908" s="6"/>
    </row>
    <row r="909" spans="10:10" ht="15.75" customHeight="1">
      <c r="J909" s="6"/>
    </row>
    <row r="910" spans="10:10" ht="15.75" customHeight="1">
      <c r="J910" s="6"/>
    </row>
    <row r="911" spans="10:10" ht="15.75" customHeight="1">
      <c r="J911" s="6"/>
    </row>
    <row r="912" spans="10:10" ht="15.75" customHeight="1">
      <c r="J912" s="6"/>
    </row>
    <row r="913" spans="10:10" ht="15.75" customHeight="1">
      <c r="J913" s="6"/>
    </row>
    <row r="914" spans="10:10" ht="15.75" customHeight="1">
      <c r="J914" s="6"/>
    </row>
    <row r="915" spans="10:10" ht="15.75" customHeight="1">
      <c r="J915" s="6"/>
    </row>
    <row r="916" spans="10:10" ht="15.75" customHeight="1">
      <c r="J916" s="6"/>
    </row>
    <row r="917" spans="10:10" ht="15.75" customHeight="1">
      <c r="J917" s="6"/>
    </row>
    <row r="918" spans="10:10" ht="15.75" customHeight="1">
      <c r="J918" s="6"/>
    </row>
    <row r="919" spans="10:10" ht="15.75" customHeight="1">
      <c r="J919" s="6"/>
    </row>
    <row r="920" spans="10:10" ht="15.75" customHeight="1">
      <c r="J920" s="6"/>
    </row>
    <row r="921" spans="10:10" ht="15.75" customHeight="1">
      <c r="J921" s="6"/>
    </row>
    <row r="922" spans="10:10" ht="15.75" customHeight="1">
      <c r="J922" s="6"/>
    </row>
    <row r="923" spans="10:10" ht="15.75" customHeight="1">
      <c r="J923" s="6"/>
    </row>
    <row r="924" spans="10:10" ht="15.75" customHeight="1">
      <c r="J924" s="6"/>
    </row>
    <row r="925" spans="10:10" ht="15.75" customHeight="1">
      <c r="J925" s="6"/>
    </row>
    <row r="926" spans="10:10" ht="15.75" customHeight="1">
      <c r="J926" s="6"/>
    </row>
    <row r="927" spans="10:10" ht="15.75" customHeight="1">
      <c r="J927" s="6"/>
    </row>
    <row r="928" spans="10:10" ht="15.75" customHeight="1">
      <c r="J928" s="6"/>
    </row>
    <row r="929" spans="10:10" ht="15.75" customHeight="1">
      <c r="J929" s="6"/>
    </row>
    <row r="930" spans="10:10" ht="15.75" customHeight="1">
      <c r="J930" s="6"/>
    </row>
    <row r="931" spans="10:10" ht="15.75" customHeight="1">
      <c r="J931" s="6"/>
    </row>
    <row r="932" spans="10:10" ht="15.75" customHeight="1">
      <c r="J932" s="6"/>
    </row>
    <row r="933" spans="10:10" ht="15.75" customHeight="1">
      <c r="J933" s="6"/>
    </row>
    <row r="934" spans="10:10" ht="15.75" customHeight="1">
      <c r="J934" s="6"/>
    </row>
    <row r="935" spans="10:10" ht="15.75" customHeight="1">
      <c r="J935" s="6"/>
    </row>
    <row r="936" spans="10:10" ht="15.75" customHeight="1">
      <c r="J936" s="6"/>
    </row>
    <row r="937" spans="10:10" ht="15.75" customHeight="1">
      <c r="J937" s="6"/>
    </row>
    <row r="938" spans="10:10" ht="15.75" customHeight="1">
      <c r="J938" s="6"/>
    </row>
    <row r="939" spans="10:10" ht="15.75" customHeight="1">
      <c r="J939" s="6"/>
    </row>
    <row r="940" spans="10:10" ht="15.75" customHeight="1">
      <c r="J940" s="6"/>
    </row>
    <row r="941" spans="10:10" ht="15.75" customHeight="1">
      <c r="J941" s="6"/>
    </row>
    <row r="942" spans="10:10" ht="15.75" customHeight="1">
      <c r="J942" s="6"/>
    </row>
    <row r="943" spans="10:10" ht="15.75" customHeight="1">
      <c r="J943" s="6"/>
    </row>
    <row r="944" spans="10:10" ht="15.75" customHeight="1">
      <c r="J944" s="6"/>
    </row>
    <row r="945" spans="10:10" ht="15.75" customHeight="1">
      <c r="J945" s="6"/>
    </row>
    <row r="946" spans="10:10" ht="15.75" customHeight="1">
      <c r="J946" s="6"/>
    </row>
    <row r="947" spans="10:10" ht="15.75" customHeight="1">
      <c r="J947" s="6"/>
    </row>
    <row r="948" spans="10:10" ht="15.75" customHeight="1">
      <c r="J948" s="6"/>
    </row>
    <row r="949" spans="10:10" ht="15.75" customHeight="1">
      <c r="J949" s="6"/>
    </row>
    <row r="950" spans="10:10" ht="15.75" customHeight="1">
      <c r="J950" s="6"/>
    </row>
    <row r="951" spans="10:10" ht="15.75" customHeight="1">
      <c r="J951" s="6"/>
    </row>
    <row r="952" spans="10:10" ht="15.75" customHeight="1">
      <c r="J952" s="6"/>
    </row>
    <row r="953" spans="10:10" ht="15.75" customHeight="1">
      <c r="J953" s="6"/>
    </row>
    <row r="954" spans="10:10" ht="15.75" customHeight="1">
      <c r="J954" s="6"/>
    </row>
    <row r="955" spans="10:10" ht="15.75" customHeight="1">
      <c r="J955" s="6"/>
    </row>
    <row r="956" spans="10:10" ht="15.75" customHeight="1">
      <c r="J956" s="6"/>
    </row>
    <row r="957" spans="10:10" ht="15.75" customHeight="1">
      <c r="J957" s="6"/>
    </row>
    <row r="958" spans="10:10" ht="15.75" customHeight="1">
      <c r="J958" s="6"/>
    </row>
    <row r="959" spans="10:10" ht="15.75" customHeight="1">
      <c r="J959" s="6"/>
    </row>
    <row r="960" spans="10:10" ht="15.75" customHeight="1">
      <c r="J960" s="6"/>
    </row>
    <row r="961" spans="10:10" ht="15.75" customHeight="1">
      <c r="J961" s="6"/>
    </row>
    <row r="962" spans="10:10" ht="15.75" customHeight="1">
      <c r="J962" s="6"/>
    </row>
    <row r="963" spans="10:10" ht="15.75" customHeight="1">
      <c r="J963" s="6"/>
    </row>
    <row r="964" spans="10:10" ht="15.75" customHeight="1">
      <c r="J964" s="6"/>
    </row>
    <row r="965" spans="10:10" ht="15.75" customHeight="1">
      <c r="J965" s="6"/>
    </row>
    <row r="966" spans="10:10" ht="15.75" customHeight="1">
      <c r="J966" s="6"/>
    </row>
    <row r="967" spans="10:10" ht="15.75" customHeight="1">
      <c r="J967" s="6"/>
    </row>
    <row r="968" spans="10:10" ht="15.75" customHeight="1">
      <c r="J968" s="6"/>
    </row>
    <row r="969" spans="10:10" ht="15.75" customHeight="1">
      <c r="J969" s="6"/>
    </row>
    <row r="970" spans="10:10" ht="15.75" customHeight="1">
      <c r="J970" s="6"/>
    </row>
    <row r="971" spans="10:10" ht="15.75" customHeight="1">
      <c r="J971" s="6"/>
    </row>
    <row r="972" spans="10:10" ht="15.75" customHeight="1">
      <c r="J972" s="6"/>
    </row>
    <row r="973" spans="10:10" ht="15.75" customHeight="1">
      <c r="J973" s="6"/>
    </row>
    <row r="974" spans="10:10" ht="15.75" customHeight="1">
      <c r="J974" s="6"/>
    </row>
    <row r="975" spans="10:10" ht="15.75" customHeight="1">
      <c r="J975" s="6"/>
    </row>
    <row r="976" spans="10:10" ht="15.75" customHeight="1">
      <c r="J976" s="6"/>
    </row>
    <row r="977" spans="10:10" ht="15.75" customHeight="1">
      <c r="J977" s="6"/>
    </row>
    <row r="978" spans="10:10" ht="15.75" customHeight="1">
      <c r="J978" s="6"/>
    </row>
    <row r="979" spans="10:10" ht="15.75" customHeight="1">
      <c r="J979" s="6"/>
    </row>
    <row r="980" spans="10:10" ht="15.75" customHeight="1">
      <c r="J980" s="6"/>
    </row>
    <row r="981" spans="10:10" ht="15.75" customHeight="1">
      <c r="J981" s="6"/>
    </row>
    <row r="982" spans="10:10" ht="15.75" customHeight="1">
      <c r="J982" s="6"/>
    </row>
    <row r="983" spans="10:10" ht="15.75" customHeight="1">
      <c r="J983" s="6"/>
    </row>
    <row r="984" spans="10:10" ht="15.75" customHeight="1">
      <c r="J984" s="6"/>
    </row>
    <row r="985" spans="10:10" ht="15.75" customHeight="1">
      <c r="J985" s="6"/>
    </row>
    <row r="986" spans="10:10" ht="15.75" customHeight="1">
      <c r="J986" s="6"/>
    </row>
    <row r="987" spans="10:10" ht="15.75" customHeight="1">
      <c r="J987" s="6"/>
    </row>
    <row r="988" spans="10:10" ht="15.75" customHeight="1">
      <c r="J988" s="6"/>
    </row>
    <row r="989" spans="10:10" ht="15.75" customHeight="1">
      <c r="J989" s="6"/>
    </row>
    <row r="990" spans="10:10" ht="15.75" customHeight="1">
      <c r="J990" s="6"/>
    </row>
    <row r="991" spans="10:10" ht="15.75" customHeight="1">
      <c r="J991" s="6"/>
    </row>
    <row r="992" spans="10:10" ht="15.75" customHeight="1">
      <c r="J992" s="6"/>
    </row>
    <row r="993" spans="10:10" ht="15.75" customHeight="1">
      <c r="J993" s="6"/>
    </row>
    <row r="994" spans="10:10" ht="15.75" customHeight="1">
      <c r="J994" s="6"/>
    </row>
    <row r="995" spans="10:10" ht="15.75" customHeight="1">
      <c r="J995" s="6"/>
    </row>
    <row r="996" spans="10:10" ht="15.75" customHeight="1">
      <c r="J996" s="6"/>
    </row>
    <row r="997" spans="10:10" ht="15.75" customHeight="1">
      <c r="J997" s="6"/>
    </row>
    <row r="998" spans="10:10" ht="15.75" customHeight="1">
      <c r="J998" s="6"/>
    </row>
    <row r="999" spans="10:10" ht="15.75" customHeight="1">
      <c r="J999" s="6"/>
    </row>
    <row r="1000" spans="10:10" ht="15.75" customHeight="1">
      <c r="J1000" s="6"/>
    </row>
  </sheetData>
  <pageMargins left="0.7" right="0.7" top="0.75" bottom="0.75" header="0" footer="0"/>
  <pageSetup orientation="landscape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tabSelected="1" topLeftCell="K26" zoomScale="85" zoomScaleNormal="85" workbookViewId="0">
      <selection activeCell="F1" sqref="F1"/>
    </sheetView>
  </sheetViews>
  <sheetFormatPr baseColWidth="10" defaultColWidth="14.42578125" defaultRowHeight="15" customHeight="1"/>
  <cols>
    <col min="1" max="1" width="13" bestFit="1" customWidth="1"/>
    <col min="2" max="2" width="5" bestFit="1" customWidth="1"/>
    <col min="3" max="3" width="19.85546875" bestFit="1" customWidth="1"/>
    <col min="4" max="4" width="15.7109375" bestFit="1" customWidth="1"/>
    <col min="5" max="5" width="3.5703125" bestFit="1" customWidth="1"/>
    <col min="6" max="6" width="14.140625" bestFit="1" customWidth="1"/>
    <col min="7" max="7" width="26" bestFit="1" customWidth="1"/>
    <col min="8" max="8" width="18.28515625" bestFit="1" customWidth="1"/>
    <col min="9" max="9" width="16.5703125" bestFit="1" customWidth="1"/>
    <col min="10" max="10" width="12" bestFit="1" customWidth="1"/>
    <col min="11" max="11" width="22" bestFit="1" customWidth="1"/>
    <col min="12" max="12" width="21.42578125" bestFit="1" customWidth="1"/>
    <col min="13" max="13" width="12.7109375" bestFit="1" customWidth="1"/>
    <col min="14" max="14" width="20.7109375" bestFit="1" customWidth="1"/>
    <col min="15" max="15" width="12.85546875" bestFit="1" customWidth="1"/>
    <col min="16" max="16" width="21.85546875" bestFit="1" customWidth="1"/>
    <col min="17" max="17" width="13.85546875" bestFit="1" customWidth="1"/>
    <col min="18" max="26" width="8.7109375" customWidth="1"/>
  </cols>
  <sheetData>
    <row r="1" spans="1:26" ht="15.75" thickBot="1">
      <c r="A1" s="1" t="s">
        <v>0</v>
      </c>
      <c r="B1" s="1" t="s">
        <v>3</v>
      </c>
      <c r="C1" s="1" t="s">
        <v>16</v>
      </c>
      <c r="D1" s="1" t="s">
        <v>17</v>
      </c>
      <c r="E1" s="1" t="s">
        <v>10</v>
      </c>
      <c r="F1" s="1" t="s">
        <v>25</v>
      </c>
      <c r="G1" s="1" t="s">
        <v>19</v>
      </c>
      <c r="H1" s="1" t="s">
        <v>26</v>
      </c>
      <c r="I1" s="1" t="s">
        <v>7</v>
      </c>
      <c r="J1" s="1" t="s">
        <v>15</v>
      </c>
      <c r="K1" s="6" t="s">
        <v>4</v>
      </c>
      <c r="L1" s="7" t="s">
        <v>8</v>
      </c>
      <c r="M1" s="1" t="s">
        <v>9</v>
      </c>
      <c r="N1" s="8" t="s">
        <v>27</v>
      </c>
      <c r="O1" s="1" t="s">
        <v>24</v>
      </c>
      <c r="P1" s="9" t="s">
        <v>21</v>
      </c>
      <c r="Q1" s="1" t="s">
        <v>22</v>
      </c>
    </row>
    <row r="2" spans="1:26" ht="15.75" thickBot="1">
      <c r="A2" s="10">
        <v>0</v>
      </c>
      <c r="B2" s="26">
        <v>7.65</v>
      </c>
      <c r="C2" s="11">
        <v>1</v>
      </c>
      <c r="D2" s="11">
        <v>1</v>
      </c>
      <c r="E2" s="11">
        <v>1</v>
      </c>
      <c r="F2" s="11">
        <v>10</v>
      </c>
      <c r="G2" s="11">
        <v>1.68</v>
      </c>
      <c r="H2" s="11">
        <v>5</v>
      </c>
      <c r="I2" s="11">
        <f>G2*'week8reox ph7'!$H2</f>
        <v>8.4</v>
      </c>
      <c r="J2" s="11">
        <f t="shared" ref="J2:J8" si="0">I2/$I$2</f>
        <v>1</v>
      </c>
      <c r="K2" s="13">
        <v>2</v>
      </c>
      <c r="L2" s="14">
        <v>75.09</v>
      </c>
      <c r="M2" s="15">
        <f t="shared" ref="M2:M8" si="1">L2/$L$2</f>
        <v>1</v>
      </c>
      <c r="N2" s="16">
        <v>81.680000000000007</v>
      </c>
      <c r="O2" s="15">
        <f t="shared" ref="O2:O8" si="2">N2/$N$2</f>
        <v>1</v>
      </c>
      <c r="P2" s="17">
        <v>79.44</v>
      </c>
      <c r="Q2" s="18">
        <f t="shared" ref="Q2:Q8" si="3">P2/$P$2</f>
        <v>1</v>
      </c>
    </row>
    <row r="3" spans="1:26" ht="15.75" thickBot="1">
      <c r="A3" s="19">
        <v>0.43</v>
      </c>
      <c r="B3" s="26">
        <v>7.65</v>
      </c>
      <c r="C3" s="12">
        <v>1</v>
      </c>
      <c r="D3" s="12">
        <v>1</v>
      </c>
      <c r="E3" s="12">
        <v>1</v>
      </c>
      <c r="F3" s="11">
        <v>10</v>
      </c>
      <c r="G3" s="12">
        <v>1.53</v>
      </c>
      <c r="H3" s="11">
        <v>5</v>
      </c>
      <c r="I3" s="11">
        <f>G3*'week8reox ph7'!$H3</f>
        <v>7.65</v>
      </c>
      <c r="J3" s="12">
        <f t="shared" si="0"/>
        <v>0.9107142857142857</v>
      </c>
      <c r="K3" s="6">
        <v>2</v>
      </c>
      <c r="L3" s="20">
        <v>61.92</v>
      </c>
      <c r="M3" s="22">
        <f t="shared" si="1"/>
        <v>0.82461046743907307</v>
      </c>
      <c r="N3" s="21">
        <v>1.96</v>
      </c>
      <c r="O3" s="22">
        <f t="shared" si="2"/>
        <v>2.3996082272282074E-2</v>
      </c>
      <c r="P3" s="23">
        <v>73.510000000000005</v>
      </c>
      <c r="Q3" s="24">
        <f t="shared" si="3"/>
        <v>0.92535246727089637</v>
      </c>
    </row>
    <row r="4" spans="1:26" ht="15.75" thickBot="1">
      <c r="A4" s="19">
        <v>0.66</v>
      </c>
      <c r="B4" s="26">
        <v>7.65</v>
      </c>
      <c r="C4" s="12">
        <v>1</v>
      </c>
      <c r="D4" s="12">
        <v>1</v>
      </c>
      <c r="E4" s="12">
        <v>1</v>
      </c>
      <c r="F4" s="11">
        <v>10</v>
      </c>
      <c r="G4" s="12">
        <v>1.34</v>
      </c>
      <c r="H4" s="11">
        <v>5</v>
      </c>
      <c r="I4" s="11">
        <f>G4*'week8reox ph7'!$H4</f>
        <v>6.7</v>
      </c>
      <c r="J4" s="12">
        <f t="shared" si="0"/>
        <v>0.79761904761904756</v>
      </c>
      <c r="K4" s="6">
        <v>2</v>
      </c>
      <c r="L4" s="20">
        <v>57.2</v>
      </c>
      <c r="M4" s="22">
        <f t="shared" si="1"/>
        <v>0.76175256359035826</v>
      </c>
      <c r="N4" s="21">
        <v>0</v>
      </c>
      <c r="O4" s="22">
        <f t="shared" si="2"/>
        <v>0</v>
      </c>
      <c r="P4" s="23">
        <v>77.45</v>
      </c>
      <c r="Q4" s="24">
        <f t="shared" si="3"/>
        <v>0.97494964753272917</v>
      </c>
    </row>
    <row r="5" spans="1:26" ht="15.75" thickBot="1">
      <c r="A5" s="19">
        <v>1</v>
      </c>
      <c r="B5" s="26">
        <v>7.65</v>
      </c>
      <c r="C5" s="12">
        <v>1</v>
      </c>
      <c r="D5" s="12">
        <v>1</v>
      </c>
      <c r="E5" s="12">
        <v>1</v>
      </c>
      <c r="F5" s="11">
        <v>10</v>
      </c>
      <c r="G5" s="12">
        <v>1.21</v>
      </c>
      <c r="H5" s="11">
        <v>5</v>
      </c>
      <c r="I5" s="11">
        <f>G5*'week8reox ph7'!$H5</f>
        <v>6.05</v>
      </c>
      <c r="J5" s="12">
        <f t="shared" si="0"/>
        <v>0.72023809523809523</v>
      </c>
      <c r="K5" s="6">
        <v>2</v>
      </c>
      <c r="L5" s="20">
        <v>53.78</v>
      </c>
      <c r="M5" s="22">
        <f t="shared" si="1"/>
        <v>0.7162072180050606</v>
      </c>
      <c r="N5" s="21">
        <v>0</v>
      </c>
      <c r="O5" s="22">
        <f t="shared" si="2"/>
        <v>0</v>
      </c>
      <c r="P5" s="23">
        <v>74.540000000000006</v>
      </c>
      <c r="Q5" s="24">
        <f t="shared" si="3"/>
        <v>0.9383182275931522</v>
      </c>
    </row>
    <row r="6" spans="1:26" ht="15.75" thickBot="1">
      <c r="A6" s="19">
        <v>1.33</v>
      </c>
      <c r="B6" s="26">
        <v>7.65</v>
      </c>
      <c r="C6" s="12">
        <v>1</v>
      </c>
      <c r="D6" s="12">
        <v>1</v>
      </c>
      <c r="E6" s="12">
        <v>1</v>
      </c>
      <c r="F6" s="11">
        <v>10</v>
      </c>
      <c r="G6" s="12">
        <v>1.0900000000000001</v>
      </c>
      <c r="H6" s="11">
        <v>5</v>
      </c>
      <c r="I6" s="11">
        <f>G6*'week8reox ph7'!$H6</f>
        <v>5.45</v>
      </c>
      <c r="J6" s="12">
        <f t="shared" si="0"/>
        <v>0.64880952380952384</v>
      </c>
      <c r="K6" s="6">
        <v>2</v>
      </c>
      <c r="L6" s="20">
        <v>44.8</v>
      </c>
      <c r="M6" s="22">
        <f t="shared" si="1"/>
        <v>0.59661739246237844</v>
      </c>
      <c r="N6" s="21">
        <v>0</v>
      </c>
      <c r="O6" s="22">
        <f t="shared" si="2"/>
        <v>0</v>
      </c>
      <c r="P6" s="23">
        <v>71.87</v>
      </c>
      <c r="Q6" s="24">
        <f t="shared" si="3"/>
        <v>0.90470795568982887</v>
      </c>
    </row>
    <row r="7" spans="1:26" ht="15.75" thickBot="1">
      <c r="A7" s="19">
        <v>1.76</v>
      </c>
      <c r="B7" s="26">
        <v>7.65</v>
      </c>
      <c r="C7" s="12">
        <v>1</v>
      </c>
      <c r="D7" s="12">
        <v>1</v>
      </c>
      <c r="E7" s="12">
        <v>1</v>
      </c>
      <c r="F7" s="11">
        <v>10</v>
      </c>
      <c r="G7" s="12">
        <v>0.98</v>
      </c>
      <c r="H7" s="11">
        <v>5</v>
      </c>
      <c r="I7" s="11">
        <f>G7*'week8reox ph7'!$H7</f>
        <v>4.9000000000000004</v>
      </c>
      <c r="J7" s="12">
        <f t="shared" si="0"/>
        <v>0.58333333333333337</v>
      </c>
      <c r="K7" s="6">
        <v>2</v>
      </c>
      <c r="L7" s="20">
        <v>55.02</v>
      </c>
      <c r="M7" s="22">
        <f t="shared" si="1"/>
        <v>0.73272073511785862</v>
      </c>
      <c r="N7" s="21">
        <v>0</v>
      </c>
      <c r="O7" s="22">
        <f t="shared" si="2"/>
        <v>0</v>
      </c>
      <c r="P7" s="23">
        <v>68.599999999999994</v>
      </c>
      <c r="Q7" s="24">
        <f t="shared" si="3"/>
        <v>0.86354481369587111</v>
      </c>
    </row>
    <row r="8" spans="1:26" ht="15.75" thickBot="1">
      <c r="A8" s="19">
        <v>2</v>
      </c>
      <c r="B8" s="26">
        <v>7.65</v>
      </c>
      <c r="C8" s="12">
        <v>1</v>
      </c>
      <c r="D8" s="12">
        <v>1</v>
      </c>
      <c r="E8" s="12">
        <v>1</v>
      </c>
      <c r="F8" s="11">
        <v>10</v>
      </c>
      <c r="G8" s="12">
        <v>0.84</v>
      </c>
      <c r="H8" s="11">
        <v>5</v>
      </c>
      <c r="I8" s="11">
        <f>G8*'week8reox ph7'!$H8</f>
        <v>4.2</v>
      </c>
      <c r="J8" s="12">
        <f t="shared" si="0"/>
        <v>0.5</v>
      </c>
      <c r="K8" s="6">
        <v>2</v>
      </c>
      <c r="L8" s="20">
        <v>55.27</v>
      </c>
      <c r="M8" s="22">
        <f t="shared" si="1"/>
        <v>0.73605007324543881</v>
      </c>
      <c r="N8" s="21">
        <v>0</v>
      </c>
      <c r="O8" s="22">
        <f t="shared" si="2"/>
        <v>0</v>
      </c>
      <c r="P8" s="23">
        <v>66.34</v>
      </c>
      <c r="Q8" s="24">
        <f t="shared" si="3"/>
        <v>0.83509566968781479</v>
      </c>
    </row>
    <row r="9" spans="1:26" ht="15.75" thickBot="1">
      <c r="A9" s="10">
        <v>0</v>
      </c>
      <c r="B9" s="26">
        <v>7.65</v>
      </c>
      <c r="C9" s="11">
        <v>1</v>
      </c>
      <c r="D9" s="11">
        <v>2</v>
      </c>
      <c r="E9" s="11">
        <v>1</v>
      </c>
      <c r="F9" s="11">
        <v>10</v>
      </c>
      <c r="G9" s="11"/>
      <c r="H9" s="11">
        <v>5</v>
      </c>
      <c r="I9" s="11">
        <f>G9*'week8reox ph7'!$H9</f>
        <v>0</v>
      </c>
      <c r="J9" s="11"/>
      <c r="K9" s="13">
        <v>2</v>
      </c>
      <c r="L9" s="14">
        <v>67.760000000000005</v>
      </c>
      <c r="M9" s="15">
        <f t="shared" ref="M9:M15" si="4">L9/$L$9</f>
        <v>1</v>
      </c>
      <c r="N9" s="16">
        <v>67.81</v>
      </c>
      <c r="O9" s="15">
        <f>N9/$N$9</f>
        <v>1</v>
      </c>
      <c r="P9" s="17">
        <v>80.11</v>
      </c>
      <c r="Q9" s="15">
        <f>P9/$P$9</f>
        <v>1</v>
      </c>
      <c r="R9" s="11"/>
      <c r="S9" s="11"/>
      <c r="T9" s="11"/>
      <c r="U9" s="11"/>
      <c r="V9" s="11"/>
      <c r="W9" s="11"/>
      <c r="X9" s="11"/>
      <c r="Y9" s="11"/>
      <c r="Z9" s="11"/>
    </row>
    <row r="10" spans="1:26" ht="15.75" thickBot="1">
      <c r="A10" s="19">
        <v>0.43</v>
      </c>
      <c r="B10" s="26">
        <v>7.65</v>
      </c>
      <c r="C10" s="12">
        <v>1</v>
      </c>
      <c r="D10" s="12">
        <v>2</v>
      </c>
      <c r="E10" s="12">
        <v>1</v>
      </c>
      <c r="F10" s="11">
        <v>10</v>
      </c>
      <c r="G10" s="12"/>
      <c r="H10" s="11">
        <v>5</v>
      </c>
      <c r="I10" s="12">
        <f>G10*'week8reox ph7'!$H10</f>
        <v>0</v>
      </c>
      <c r="J10" s="12"/>
      <c r="K10" s="6">
        <v>2</v>
      </c>
      <c r="L10" s="20">
        <v>56.2</v>
      </c>
      <c r="M10" s="22">
        <f t="shared" si="4"/>
        <v>0.82939787485242034</v>
      </c>
      <c r="N10" s="21">
        <v>2.19</v>
      </c>
      <c r="O10" s="22">
        <f t="shared" ref="O10:O15" si="5">N10/$N$10</f>
        <v>1</v>
      </c>
      <c r="P10" s="23">
        <v>78.739999999999995</v>
      </c>
      <c r="Q10" s="22">
        <f t="shared" ref="Q10:Q15" si="6">P10/$P$2</f>
        <v>0.99118831822759312</v>
      </c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5.75" thickBot="1">
      <c r="A11" s="19">
        <v>0.66</v>
      </c>
      <c r="B11" s="26">
        <v>7.65</v>
      </c>
      <c r="C11" s="12">
        <v>1</v>
      </c>
      <c r="D11" s="12">
        <v>2</v>
      </c>
      <c r="E11" s="12">
        <v>1</v>
      </c>
      <c r="F11" s="11">
        <v>10</v>
      </c>
      <c r="G11" s="12"/>
      <c r="H11" s="11">
        <v>5</v>
      </c>
      <c r="I11" s="12">
        <f>G11*'week8reox ph7'!$H11</f>
        <v>0</v>
      </c>
      <c r="J11" s="12"/>
      <c r="K11" s="6">
        <v>2</v>
      </c>
      <c r="L11" s="20"/>
      <c r="M11" s="22">
        <f t="shared" si="4"/>
        <v>0</v>
      </c>
      <c r="N11" s="21">
        <v>0</v>
      </c>
      <c r="O11" s="22">
        <f t="shared" si="5"/>
        <v>0</v>
      </c>
      <c r="P11" s="23">
        <v>79.03</v>
      </c>
      <c r="Q11" s="22">
        <f t="shared" si="6"/>
        <v>0.99483887210473321</v>
      </c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5.75" thickBot="1">
      <c r="A12" s="19">
        <v>1</v>
      </c>
      <c r="B12" s="26">
        <v>7.65</v>
      </c>
      <c r="C12" s="12">
        <v>1</v>
      </c>
      <c r="D12" s="12">
        <v>2</v>
      </c>
      <c r="E12" s="12">
        <v>1</v>
      </c>
      <c r="F12" s="11">
        <v>10</v>
      </c>
      <c r="G12" s="12"/>
      <c r="H12" s="11">
        <v>5</v>
      </c>
      <c r="I12" s="12">
        <f>G12*'week8reox ph7'!$H12</f>
        <v>0</v>
      </c>
      <c r="J12" s="12"/>
      <c r="K12" s="6">
        <v>2</v>
      </c>
      <c r="L12" s="20">
        <v>52.59</v>
      </c>
      <c r="M12" s="22">
        <f t="shared" si="4"/>
        <v>0.77612160566706023</v>
      </c>
      <c r="N12" s="21">
        <v>0</v>
      </c>
      <c r="O12" s="22">
        <f t="shared" si="5"/>
        <v>0</v>
      </c>
      <c r="P12" s="23">
        <v>78.41</v>
      </c>
      <c r="Q12" s="22">
        <f t="shared" si="6"/>
        <v>0.98703423967774417</v>
      </c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5.75" thickBot="1">
      <c r="A13" s="19">
        <v>1.33</v>
      </c>
      <c r="B13" s="26">
        <v>7.65</v>
      </c>
      <c r="C13" s="12">
        <v>1</v>
      </c>
      <c r="D13" s="12">
        <v>2</v>
      </c>
      <c r="E13" s="12">
        <v>1</v>
      </c>
      <c r="F13" s="11">
        <v>10</v>
      </c>
      <c r="G13" s="12"/>
      <c r="H13" s="11">
        <v>5</v>
      </c>
      <c r="I13" s="12">
        <f>G13*'week8reox ph7'!$H13</f>
        <v>0</v>
      </c>
      <c r="J13" s="12"/>
      <c r="K13" s="6">
        <v>2</v>
      </c>
      <c r="L13" s="20">
        <v>44.78</v>
      </c>
      <c r="M13" s="22">
        <f t="shared" si="4"/>
        <v>0.66086186540731995</v>
      </c>
      <c r="N13" s="21">
        <v>0</v>
      </c>
      <c r="O13" s="22">
        <f t="shared" si="5"/>
        <v>0</v>
      </c>
      <c r="P13" s="23">
        <v>78.41</v>
      </c>
      <c r="Q13" s="22">
        <f t="shared" si="6"/>
        <v>0.98703423967774417</v>
      </c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5.75" thickBot="1">
      <c r="A14" s="19">
        <v>1.76</v>
      </c>
      <c r="B14" s="26">
        <v>7.65</v>
      </c>
      <c r="C14" s="12">
        <v>1</v>
      </c>
      <c r="D14" s="12">
        <v>2</v>
      </c>
      <c r="E14" s="12">
        <v>1</v>
      </c>
      <c r="F14" s="11">
        <v>10</v>
      </c>
      <c r="G14" s="12"/>
      <c r="H14" s="11">
        <v>5</v>
      </c>
      <c r="I14" s="12">
        <f>G14*'week8reox ph7'!$H14</f>
        <v>0</v>
      </c>
      <c r="J14" s="12"/>
      <c r="K14" s="6">
        <v>2</v>
      </c>
      <c r="L14" s="20">
        <v>55.86</v>
      </c>
      <c r="M14" s="22">
        <f t="shared" si="4"/>
        <v>0.82438016528925617</v>
      </c>
      <c r="N14" s="21">
        <v>0</v>
      </c>
      <c r="O14" s="22">
        <f t="shared" si="5"/>
        <v>0</v>
      </c>
      <c r="P14" s="23">
        <v>64.23</v>
      </c>
      <c r="Q14" s="22">
        <f t="shared" si="6"/>
        <v>0.80853474320241703</v>
      </c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5.75" thickBot="1">
      <c r="A15" s="25">
        <v>2</v>
      </c>
      <c r="B15" s="26">
        <v>7.65</v>
      </c>
      <c r="C15" s="26">
        <v>1</v>
      </c>
      <c r="D15" s="26">
        <v>2</v>
      </c>
      <c r="E15" s="26">
        <v>1</v>
      </c>
      <c r="F15" s="11">
        <v>10</v>
      </c>
      <c r="G15" s="26"/>
      <c r="H15" s="11">
        <v>5</v>
      </c>
      <c r="I15" s="26">
        <f>G15*'week8reox ph7'!$H15</f>
        <v>0</v>
      </c>
      <c r="J15" s="26"/>
      <c r="K15" s="27">
        <v>2</v>
      </c>
      <c r="L15" s="28">
        <v>45.35</v>
      </c>
      <c r="M15" s="30">
        <f t="shared" si="4"/>
        <v>0.66927390791027153</v>
      </c>
      <c r="N15" s="29">
        <v>0</v>
      </c>
      <c r="O15" s="30">
        <f t="shared" si="5"/>
        <v>0</v>
      </c>
      <c r="P15" s="31">
        <v>70.31</v>
      </c>
      <c r="Q15" s="30">
        <f t="shared" si="6"/>
        <v>0.88507049345417932</v>
      </c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5.75" thickBot="1">
      <c r="A16" s="10">
        <v>0</v>
      </c>
      <c r="B16" s="26">
        <v>7.65</v>
      </c>
      <c r="C16" s="11">
        <v>2</v>
      </c>
      <c r="D16" s="11">
        <v>1</v>
      </c>
      <c r="E16" s="11">
        <v>1</v>
      </c>
      <c r="F16" s="11">
        <v>10</v>
      </c>
      <c r="G16" s="11">
        <v>1.73</v>
      </c>
      <c r="H16" s="11">
        <v>5</v>
      </c>
      <c r="I16" s="11">
        <f>G16*'week8reox ph7'!$H16</f>
        <v>8.65</v>
      </c>
      <c r="J16" s="11">
        <f t="shared" ref="J16:J22" si="7">I16/$I$16</f>
        <v>1</v>
      </c>
      <c r="K16" s="13">
        <v>2</v>
      </c>
      <c r="L16" s="14">
        <v>103.11</v>
      </c>
      <c r="M16" s="15">
        <f t="shared" ref="M16:M22" si="8">L16/$L$16</f>
        <v>1</v>
      </c>
      <c r="N16" s="16">
        <v>96.71</v>
      </c>
      <c r="O16" s="15">
        <f t="shared" ref="O16:O22" si="9">N16/$N$16</f>
        <v>1</v>
      </c>
      <c r="P16" s="17">
        <v>87.3</v>
      </c>
      <c r="Q16" s="15">
        <f t="shared" ref="Q16:Q22" si="10">P16/$P$16</f>
        <v>1</v>
      </c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15.75" thickBot="1">
      <c r="A17" s="19">
        <v>0.43</v>
      </c>
      <c r="B17" s="26">
        <v>7.65</v>
      </c>
      <c r="C17" s="12">
        <v>2</v>
      </c>
      <c r="D17" s="12">
        <v>1</v>
      </c>
      <c r="E17" s="12">
        <v>1</v>
      </c>
      <c r="F17" s="11">
        <v>10</v>
      </c>
      <c r="G17" s="12">
        <v>1.53</v>
      </c>
      <c r="H17" s="11">
        <v>5</v>
      </c>
      <c r="I17" s="11">
        <f>G17*'week8reox ph7'!$H17</f>
        <v>7.65</v>
      </c>
      <c r="J17" s="12">
        <f t="shared" si="7"/>
        <v>0.88439306358381509</v>
      </c>
      <c r="K17" s="6">
        <v>2</v>
      </c>
      <c r="L17" s="20">
        <v>85.84</v>
      </c>
      <c r="M17" s="22">
        <f t="shared" si="8"/>
        <v>0.83250897100184273</v>
      </c>
      <c r="N17" s="21">
        <v>2.85</v>
      </c>
      <c r="O17" s="22">
        <f t="shared" si="9"/>
        <v>2.9469548133595289E-2</v>
      </c>
      <c r="P17" s="23">
        <v>79.34</v>
      </c>
      <c r="Q17" s="22">
        <f t="shared" si="10"/>
        <v>0.90882016036655222</v>
      </c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5.75" thickBot="1">
      <c r="A18" s="19">
        <v>0.66</v>
      </c>
      <c r="B18" s="26">
        <v>7.65</v>
      </c>
      <c r="C18" s="12">
        <v>2</v>
      </c>
      <c r="D18" s="12">
        <v>1</v>
      </c>
      <c r="E18" s="12">
        <v>1</v>
      </c>
      <c r="F18" s="11">
        <v>10</v>
      </c>
      <c r="G18" s="12">
        <v>1.41</v>
      </c>
      <c r="H18" s="11">
        <v>5</v>
      </c>
      <c r="I18" s="11">
        <f>G18*'week8reox ph7'!$H18</f>
        <v>7.05</v>
      </c>
      <c r="J18" s="12">
        <f t="shared" si="7"/>
        <v>0.81502890173410403</v>
      </c>
      <c r="K18" s="6">
        <v>2</v>
      </c>
      <c r="L18" s="20">
        <v>98.1</v>
      </c>
      <c r="M18" s="22">
        <f t="shared" si="8"/>
        <v>0.95141111434390446</v>
      </c>
      <c r="N18" s="21">
        <v>0</v>
      </c>
      <c r="O18" s="22">
        <f t="shared" si="9"/>
        <v>0</v>
      </c>
      <c r="P18" s="23">
        <v>79.95</v>
      </c>
      <c r="Q18" s="22">
        <f t="shared" si="10"/>
        <v>0.91580756013745712</v>
      </c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5.75" thickBot="1">
      <c r="A19" s="19">
        <v>1</v>
      </c>
      <c r="B19" s="26">
        <v>7.65</v>
      </c>
      <c r="C19" s="12">
        <v>2</v>
      </c>
      <c r="D19" s="12">
        <v>1</v>
      </c>
      <c r="E19" s="12">
        <v>1</v>
      </c>
      <c r="F19" s="11">
        <v>10</v>
      </c>
      <c r="G19" s="12">
        <v>1.24</v>
      </c>
      <c r="H19" s="11">
        <v>5</v>
      </c>
      <c r="I19" s="11">
        <f>G19*'week8reox ph7'!$H19</f>
        <v>6.2</v>
      </c>
      <c r="J19" s="12">
        <f t="shared" si="7"/>
        <v>0.7167630057803468</v>
      </c>
      <c r="K19" s="6">
        <v>2</v>
      </c>
      <c r="L19" s="20">
        <v>81.66</v>
      </c>
      <c r="M19" s="22">
        <f t="shared" si="8"/>
        <v>0.79196974105324403</v>
      </c>
      <c r="N19" s="21">
        <v>0</v>
      </c>
      <c r="O19" s="22">
        <f t="shared" si="9"/>
        <v>0</v>
      </c>
      <c r="P19" s="23">
        <v>91.75</v>
      </c>
      <c r="Q19" s="22">
        <f t="shared" si="10"/>
        <v>1.0509736540664376</v>
      </c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5.75" thickBot="1">
      <c r="A20" s="19">
        <v>1.33</v>
      </c>
      <c r="B20" s="26">
        <v>7.65</v>
      </c>
      <c r="C20" s="12">
        <v>2</v>
      </c>
      <c r="D20" s="12">
        <v>1</v>
      </c>
      <c r="E20" s="12">
        <v>1</v>
      </c>
      <c r="F20" s="11">
        <v>10</v>
      </c>
      <c r="G20" s="12">
        <v>1.1599999999999999</v>
      </c>
      <c r="H20" s="11">
        <v>5</v>
      </c>
      <c r="I20" s="11">
        <f>G20*'week8reox ph7'!$H20</f>
        <v>5.8</v>
      </c>
      <c r="J20" s="12">
        <f t="shared" si="7"/>
        <v>0.67052023121387283</v>
      </c>
      <c r="K20" s="6">
        <v>2</v>
      </c>
      <c r="L20" s="20">
        <v>87.12</v>
      </c>
      <c r="M20" s="22">
        <f t="shared" si="8"/>
        <v>0.84492289787605479</v>
      </c>
      <c r="N20" s="21">
        <v>0</v>
      </c>
      <c r="O20" s="22">
        <f t="shared" si="9"/>
        <v>0</v>
      </c>
      <c r="P20" s="23">
        <v>88.54</v>
      </c>
      <c r="Q20" s="22">
        <f t="shared" si="10"/>
        <v>1.0142038946162659</v>
      </c>
      <c r="R20" s="12"/>
      <c r="S20" s="12"/>
      <c r="T20" s="12"/>
      <c r="U20" s="12"/>
      <c r="V20" s="12"/>
      <c r="W20" s="12"/>
      <c r="X20" s="12"/>
      <c r="Y20" s="12"/>
      <c r="Z20" s="12"/>
    </row>
    <row r="21" spans="1:26" ht="15.75" customHeight="1" thickBot="1">
      <c r="A21" s="19">
        <v>1.76</v>
      </c>
      <c r="B21" s="26">
        <v>7.65</v>
      </c>
      <c r="C21" s="12">
        <v>2</v>
      </c>
      <c r="D21" s="12">
        <v>1</v>
      </c>
      <c r="E21" s="12">
        <v>1</v>
      </c>
      <c r="F21" s="11">
        <v>10</v>
      </c>
      <c r="G21" s="12">
        <v>0.97</v>
      </c>
      <c r="H21" s="11">
        <v>5</v>
      </c>
      <c r="I21" s="11">
        <f>G21*'week8reox ph7'!$H21</f>
        <v>4.8499999999999996</v>
      </c>
      <c r="J21" s="12">
        <f t="shared" si="7"/>
        <v>0.560693641618497</v>
      </c>
      <c r="K21" s="6">
        <v>2</v>
      </c>
      <c r="L21" s="20">
        <v>80.680000000000007</v>
      </c>
      <c r="M21" s="22">
        <f t="shared" si="8"/>
        <v>0.78246532829017557</v>
      </c>
      <c r="N21" s="21">
        <v>0</v>
      </c>
      <c r="O21" s="22">
        <f t="shared" si="9"/>
        <v>0</v>
      </c>
      <c r="P21" s="23">
        <v>78.75</v>
      </c>
      <c r="Q21" s="22">
        <f t="shared" si="10"/>
        <v>0.90206185567010311</v>
      </c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5.75" customHeight="1" thickBot="1">
      <c r="A22" s="25">
        <v>2</v>
      </c>
      <c r="B22" s="26">
        <v>7.65</v>
      </c>
      <c r="C22" s="26">
        <v>2</v>
      </c>
      <c r="D22" s="26">
        <v>1</v>
      </c>
      <c r="E22" s="26">
        <v>1</v>
      </c>
      <c r="F22" s="11">
        <v>10</v>
      </c>
      <c r="G22" s="26">
        <v>0.87</v>
      </c>
      <c r="H22" s="11">
        <v>5</v>
      </c>
      <c r="I22" s="11">
        <f>G22*'week8reox ph7'!$H22</f>
        <v>4.3499999999999996</v>
      </c>
      <c r="J22" s="26">
        <f t="shared" si="7"/>
        <v>0.50289017341040454</v>
      </c>
      <c r="K22" s="27">
        <v>2</v>
      </c>
      <c r="L22" s="28">
        <v>72.2</v>
      </c>
      <c r="M22" s="30">
        <f t="shared" si="8"/>
        <v>0.70022306274852097</v>
      </c>
      <c r="N22" s="29">
        <v>0</v>
      </c>
      <c r="O22" s="30">
        <f t="shared" si="9"/>
        <v>0</v>
      </c>
      <c r="P22" s="31">
        <v>77.540000000000006</v>
      </c>
      <c r="Q22" s="30">
        <f t="shared" si="10"/>
        <v>0.88820160366552126</v>
      </c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 thickBot="1">
      <c r="A23" s="10">
        <v>0</v>
      </c>
      <c r="B23" s="26">
        <v>7.65</v>
      </c>
      <c r="C23" s="11">
        <v>2</v>
      </c>
      <c r="D23" s="11">
        <v>2</v>
      </c>
      <c r="E23" s="11">
        <v>1</v>
      </c>
      <c r="F23" s="11">
        <v>10</v>
      </c>
      <c r="G23" s="11"/>
      <c r="H23" s="11">
        <v>5</v>
      </c>
      <c r="I23" s="11">
        <f>G23*'week8reox ph7'!$H23</f>
        <v>0</v>
      </c>
      <c r="J23" s="11"/>
      <c r="K23" s="13">
        <v>2</v>
      </c>
      <c r="L23" s="14">
        <v>103.05</v>
      </c>
      <c r="M23" s="15">
        <f t="shared" ref="M23:M29" si="11">L23/$L$23</f>
        <v>1</v>
      </c>
      <c r="N23" s="16">
        <v>91.3</v>
      </c>
      <c r="O23" s="15">
        <f t="shared" ref="O23:O29" si="12">N23/$N$23</f>
        <v>1</v>
      </c>
      <c r="P23" s="17">
        <v>89.41</v>
      </c>
      <c r="Q23" s="15">
        <f t="shared" ref="Q23:Q29" si="13">P23/$P$23</f>
        <v>1</v>
      </c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15.75" customHeight="1" thickBot="1">
      <c r="A24" s="19">
        <v>0.43</v>
      </c>
      <c r="B24" s="26">
        <v>7.65</v>
      </c>
      <c r="C24" s="12">
        <v>2</v>
      </c>
      <c r="D24" s="12">
        <v>2</v>
      </c>
      <c r="E24" s="12">
        <v>1</v>
      </c>
      <c r="F24" s="11">
        <v>10</v>
      </c>
      <c r="G24" s="12"/>
      <c r="H24" s="11">
        <v>5</v>
      </c>
      <c r="I24" s="12">
        <f>G24*'week8reox ph7'!$H24</f>
        <v>0</v>
      </c>
      <c r="J24" s="12"/>
      <c r="K24" s="6">
        <v>2</v>
      </c>
      <c r="L24" s="20">
        <v>95.87</v>
      </c>
      <c r="M24" s="22">
        <f t="shared" si="11"/>
        <v>0.9303250849102378</v>
      </c>
      <c r="N24" s="21">
        <v>2.89</v>
      </c>
      <c r="O24" s="22">
        <f t="shared" si="12"/>
        <v>3.165388828039431E-2</v>
      </c>
      <c r="P24" s="23">
        <v>80.98</v>
      </c>
      <c r="Q24" s="22">
        <f t="shared" si="13"/>
        <v>0.90571524437982331</v>
      </c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5.75" customHeight="1" thickBot="1">
      <c r="A25" s="19">
        <v>0.66</v>
      </c>
      <c r="B25" s="26">
        <v>7.65</v>
      </c>
      <c r="C25" s="12">
        <v>2</v>
      </c>
      <c r="D25" s="12">
        <v>2</v>
      </c>
      <c r="E25" s="12">
        <v>1</v>
      </c>
      <c r="F25" s="11">
        <v>10</v>
      </c>
      <c r="G25" s="12"/>
      <c r="H25" s="11">
        <v>5</v>
      </c>
      <c r="I25" s="12">
        <f>G25*'week8reox ph7'!$H25</f>
        <v>0</v>
      </c>
      <c r="J25" s="12"/>
      <c r="K25" s="6">
        <v>2</v>
      </c>
      <c r="L25" s="20">
        <v>110.51</v>
      </c>
      <c r="M25" s="22">
        <f t="shared" si="11"/>
        <v>1.0723920426977196</v>
      </c>
      <c r="N25" s="21">
        <v>0</v>
      </c>
      <c r="O25" s="22">
        <f t="shared" si="12"/>
        <v>0</v>
      </c>
      <c r="P25" s="23">
        <v>80.540000000000006</v>
      </c>
      <c r="Q25" s="22">
        <f t="shared" si="13"/>
        <v>0.9007940946202887</v>
      </c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5.75" customHeight="1" thickBot="1">
      <c r="A26" s="19">
        <v>1</v>
      </c>
      <c r="B26" s="26">
        <v>7.65</v>
      </c>
      <c r="C26" s="12">
        <v>2</v>
      </c>
      <c r="D26" s="12">
        <v>2</v>
      </c>
      <c r="E26" s="12">
        <v>1</v>
      </c>
      <c r="F26" s="11">
        <v>10</v>
      </c>
      <c r="G26" s="12"/>
      <c r="H26" s="11">
        <v>5</v>
      </c>
      <c r="I26" s="12">
        <f>G26*'week8reox ph7'!$H26</f>
        <v>0</v>
      </c>
      <c r="J26" s="12"/>
      <c r="K26" s="6">
        <v>2</v>
      </c>
      <c r="L26" s="20">
        <v>84.86</v>
      </c>
      <c r="M26" s="22">
        <f t="shared" si="11"/>
        <v>0.82348374575448813</v>
      </c>
      <c r="N26" s="21">
        <v>0</v>
      </c>
      <c r="O26" s="22">
        <f t="shared" si="12"/>
        <v>0</v>
      </c>
      <c r="P26" s="23">
        <v>90.7</v>
      </c>
      <c r="Q26" s="22">
        <f t="shared" si="13"/>
        <v>1.0144279163404541</v>
      </c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5.75" customHeight="1" thickBot="1">
      <c r="A27" s="19">
        <v>1.33</v>
      </c>
      <c r="B27" s="26">
        <v>7.65</v>
      </c>
      <c r="C27" s="12">
        <v>2</v>
      </c>
      <c r="D27" s="12">
        <v>2</v>
      </c>
      <c r="E27" s="12">
        <v>1</v>
      </c>
      <c r="F27" s="11">
        <v>10</v>
      </c>
      <c r="G27" s="12"/>
      <c r="H27" s="11">
        <v>5</v>
      </c>
      <c r="I27" s="12">
        <f>G27*'week8reox ph7'!$H27</f>
        <v>0</v>
      </c>
      <c r="J27" s="12"/>
      <c r="K27" s="6">
        <v>2</v>
      </c>
      <c r="L27" s="20">
        <v>76.36</v>
      </c>
      <c r="M27" s="22">
        <f t="shared" si="11"/>
        <v>0.74099951479864146</v>
      </c>
      <c r="N27" s="21">
        <v>0</v>
      </c>
      <c r="O27" s="22">
        <f t="shared" si="12"/>
        <v>0</v>
      </c>
      <c r="P27" s="23">
        <v>88.73</v>
      </c>
      <c r="Q27" s="22">
        <f t="shared" si="13"/>
        <v>0.99239458673526459</v>
      </c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5.75" customHeight="1" thickBot="1">
      <c r="A28" s="19">
        <v>1.76</v>
      </c>
      <c r="B28" s="26">
        <v>7.65</v>
      </c>
      <c r="C28" s="12">
        <v>2</v>
      </c>
      <c r="D28" s="12">
        <v>2</v>
      </c>
      <c r="E28" s="12">
        <v>1</v>
      </c>
      <c r="F28" s="11">
        <v>10</v>
      </c>
      <c r="G28" s="12"/>
      <c r="H28" s="11">
        <v>5</v>
      </c>
      <c r="I28" s="12">
        <f>G28*'week8reox ph7'!$H28</f>
        <v>0</v>
      </c>
      <c r="J28" s="12"/>
      <c r="K28" s="6">
        <v>2</v>
      </c>
      <c r="L28" s="20">
        <v>78.41</v>
      </c>
      <c r="M28" s="22">
        <f t="shared" si="11"/>
        <v>0.76089277049975734</v>
      </c>
      <c r="N28" s="21">
        <v>0</v>
      </c>
      <c r="O28" s="22">
        <f t="shared" si="12"/>
        <v>0</v>
      </c>
      <c r="P28" s="23">
        <v>79.63</v>
      </c>
      <c r="Q28" s="22">
        <f t="shared" si="13"/>
        <v>0.89061626216306899</v>
      </c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5.75" customHeight="1" thickBot="1">
      <c r="A29" s="25">
        <v>2</v>
      </c>
      <c r="B29" s="26">
        <v>7.65</v>
      </c>
      <c r="C29" s="26">
        <v>2</v>
      </c>
      <c r="D29" s="26">
        <v>2</v>
      </c>
      <c r="E29" s="26">
        <v>1</v>
      </c>
      <c r="F29" s="11">
        <v>10</v>
      </c>
      <c r="G29" s="26"/>
      <c r="H29" s="11">
        <v>5</v>
      </c>
      <c r="I29" s="26">
        <f>G29*'week8reox ph7'!$H29</f>
        <v>0</v>
      </c>
      <c r="J29" s="26"/>
      <c r="K29" s="27">
        <v>2</v>
      </c>
      <c r="L29" s="28">
        <v>76.92</v>
      </c>
      <c r="M29" s="30">
        <f t="shared" si="11"/>
        <v>0.74643377001455613</v>
      </c>
      <c r="N29" s="29">
        <v>0</v>
      </c>
      <c r="O29" s="30">
        <f t="shared" si="12"/>
        <v>0</v>
      </c>
      <c r="P29" s="31">
        <v>79.14</v>
      </c>
      <c r="Q29" s="30">
        <f t="shared" si="13"/>
        <v>0.88513589083995081</v>
      </c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5.75" customHeight="1" thickBot="1">
      <c r="A30" s="10">
        <v>0</v>
      </c>
      <c r="B30" s="11">
        <v>7.62</v>
      </c>
      <c r="C30" s="11">
        <v>2</v>
      </c>
      <c r="D30" s="11">
        <v>1</v>
      </c>
      <c r="E30" s="11">
        <v>1</v>
      </c>
      <c r="F30" s="11">
        <v>2</v>
      </c>
      <c r="G30" s="11">
        <v>1.64</v>
      </c>
      <c r="H30" s="11">
        <v>1</v>
      </c>
      <c r="I30" s="11">
        <f>G30*'week8reox ph7'!$H30</f>
        <v>1.64</v>
      </c>
      <c r="J30" s="11">
        <f t="shared" ref="J30:J36" si="14">I30/$I$30</f>
        <v>1</v>
      </c>
      <c r="K30" s="13">
        <v>2</v>
      </c>
      <c r="L30" s="14"/>
      <c r="M30" s="15"/>
      <c r="N30" s="16">
        <v>104.86</v>
      </c>
      <c r="O30" s="15">
        <f t="shared" ref="O30:O36" si="15">N30/$N$30</f>
        <v>1</v>
      </c>
      <c r="P30" s="17">
        <v>99.85</v>
      </c>
      <c r="Q30" s="15">
        <f t="shared" ref="Q30:Q36" si="16">P30/$P$30</f>
        <v>1</v>
      </c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15.75" customHeight="1" thickBot="1">
      <c r="A31" s="19">
        <v>0.43</v>
      </c>
      <c r="B31" s="11">
        <v>7.62</v>
      </c>
      <c r="C31" s="12">
        <v>2</v>
      </c>
      <c r="D31" s="12">
        <v>1</v>
      </c>
      <c r="E31" s="12">
        <v>1</v>
      </c>
      <c r="F31" s="11">
        <v>2</v>
      </c>
      <c r="G31" s="12">
        <v>1.4</v>
      </c>
      <c r="H31" s="11">
        <v>1</v>
      </c>
      <c r="I31" s="12">
        <f>G31*'week8reox ph7'!$H31</f>
        <v>1.4</v>
      </c>
      <c r="J31" s="12">
        <f t="shared" si="14"/>
        <v>0.85365853658536583</v>
      </c>
      <c r="K31" s="6">
        <v>2</v>
      </c>
      <c r="L31" s="20"/>
      <c r="M31" s="22"/>
      <c r="N31" s="21">
        <v>27.91</v>
      </c>
      <c r="O31" s="22">
        <f t="shared" si="15"/>
        <v>0.26616440968910932</v>
      </c>
      <c r="P31" s="23">
        <v>95.6</v>
      </c>
      <c r="Q31" s="15">
        <f t="shared" si="16"/>
        <v>0.95743615423134698</v>
      </c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5.75" customHeight="1" thickBot="1">
      <c r="A32" s="19">
        <v>0.66</v>
      </c>
      <c r="B32" s="11">
        <v>7.62</v>
      </c>
      <c r="C32" s="12">
        <v>2</v>
      </c>
      <c r="D32" s="12">
        <v>1</v>
      </c>
      <c r="E32" s="12">
        <v>1</v>
      </c>
      <c r="F32" s="11">
        <v>2</v>
      </c>
      <c r="G32" s="12">
        <v>1.1599999999999999</v>
      </c>
      <c r="H32" s="11">
        <v>1</v>
      </c>
      <c r="I32" s="12">
        <f>G32*'week8reox ph7'!$H32</f>
        <v>1.1599999999999999</v>
      </c>
      <c r="J32" s="12">
        <f t="shared" si="14"/>
        <v>0.70731707317073167</v>
      </c>
      <c r="K32" s="6">
        <v>2</v>
      </c>
      <c r="L32" s="20"/>
      <c r="M32" s="22"/>
      <c r="N32" s="21">
        <v>5.95</v>
      </c>
      <c r="O32" s="22">
        <f t="shared" si="15"/>
        <v>5.6742323097463285E-2</v>
      </c>
      <c r="P32" s="23">
        <v>86.59</v>
      </c>
      <c r="Q32" s="15">
        <f t="shared" si="16"/>
        <v>0.86720080120180276</v>
      </c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5.75" customHeight="1" thickBot="1">
      <c r="A33" s="19">
        <v>1</v>
      </c>
      <c r="B33" s="11">
        <v>7.62</v>
      </c>
      <c r="C33" s="12">
        <v>2</v>
      </c>
      <c r="D33" s="12">
        <v>1</v>
      </c>
      <c r="E33" s="12">
        <v>1</v>
      </c>
      <c r="F33" s="11">
        <v>2</v>
      </c>
      <c r="G33" s="12">
        <v>0.97</v>
      </c>
      <c r="H33" s="11">
        <v>1</v>
      </c>
      <c r="I33" s="12">
        <f>G33*'week8reox ph7'!$H33</f>
        <v>0.97</v>
      </c>
      <c r="J33" s="12">
        <f t="shared" si="14"/>
        <v>0.59146341463414631</v>
      </c>
      <c r="K33" s="6">
        <v>2</v>
      </c>
      <c r="L33" s="20"/>
      <c r="M33" s="22"/>
      <c r="N33" s="21">
        <v>1.06</v>
      </c>
      <c r="O33" s="22">
        <f t="shared" si="15"/>
        <v>1.0108716383749761E-2</v>
      </c>
      <c r="P33" s="23">
        <v>88.46</v>
      </c>
      <c r="Q33" s="15">
        <f t="shared" si="16"/>
        <v>0.88592889334001002</v>
      </c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5.75" customHeight="1" thickBot="1">
      <c r="A34" s="19">
        <v>1.33</v>
      </c>
      <c r="B34" s="11">
        <v>7.62</v>
      </c>
      <c r="C34" s="12">
        <v>2</v>
      </c>
      <c r="D34" s="12">
        <v>1</v>
      </c>
      <c r="E34" s="12">
        <v>1</v>
      </c>
      <c r="F34" s="11">
        <v>2</v>
      </c>
      <c r="G34" s="12">
        <v>0.81</v>
      </c>
      <c r="H34" s="11">
        <v>1</v>
      </c>
      <c r="I34" s="12">
        <f>G34*'week8reox ph7'!$H34</f>
        <v>0.81</v>
      </c>
      <c r="J34" s="12">
        <f t="shared" si="14"/>
        <v>0.49390243902439029</v>
      </c>
      <c r="K34" s="6">
        <v>2</v>
      </c>
      <c r="L34" s="20"/>
      <c r="M34" s="22"/>
      <c r="N34" s="21">
        <v>0.14000000000000001</v>
      </c>
      <c r="O34" s="22">
        <f t="shared" si="15"/>
        <v>1.3351134846461951E-3</v>
      </c>
      <c r="P34" s="23">
        <v>80.819999999999993</v>
      </c>
      <c r="Q34" s="15">
        <f t="shared" si="16"/>
        <v>0.80941412118177258</v>
      </c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5.75" customHeight="1" thickBot="1">
      <c r="A35" s="19">
        <v>1.76</v>
      </c>
      <c r="B35" s="11">
        <v>7.62</v>
      </c>
      <c r="C35" s="12">
        <v>2</v>
      </c>
      <c r="D35" s="12">
        <v>1</v>
      </c>
      <c r="E35" s="12">
        <v>1</v>
      </c>
      <c r="F35" s="11">
        <v>2</v>
      </c>
      <c r="G35" s="12">
        <v>0.62</v>
      </c>
      <c r="H35" s="11">
        <v>1</v>
      </c>
      <c r="I35" s="12">
        <f>G35*'week8reox ph7'!$H35</f>
        <v>0.62</v>
      </c>
      <c r="J35" s="12">
        <f t="shared" si="14"/>
        <v>0.37804878048780488</v>
      </c>
      <c r="K35" s="6">
        <v>2</v>
      </c>
      <c r="L35" s="20"/>
      <c r="M35" s="22"/>
      <c r="N35" s="21">
        <v>0</v>
      </c>
      <c r="O35" s="22">
        <f t="shared" si="15"/>
        <v>0</v>
      </c>
      <c r="P35" s="23">
        <v>76.069999999999993</v>
      </c>
      <c r="Q35" s="15">
        <f t="shared" si="16"/>
        <v>0.76184276414621932</v>
      </c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5.75" customHeight="1" thickBot="1">
      <c r="A36" s="25">
        <v>2</v>
      </c>
      <c r="B36" s="11">
        <v>7.62</v>
      </c>
      <c r="C36" s="26">
        <v>2</v>
      </c>
      <c r="D36" s="26">
        <v>1</v>
      </c>
      <c r="E36" s="26">
        <v>1</v>
      </c>
      <c r="F36" s="11">
        <v>2</v>
      </c>
      <c r="G36" s="26">
        <v>0.51</v>
      </c>
      <c r="H36" s="11">
        <v>1</v>
      </c>
      <c r="I36" s="26">
        <f>G36*'week8reox ph7'!$H36</f>
        <v>0.51</v>
      </c>
      <c r="J36" s="26">
        <f t="shared" si="14"/>
        <v>0.31097560975609756</v>
      </c>
      <c r="K36" s="27">
        <v>2</v>
      </c>
      <c r="L36" s="28"/>
      <c r="M36" s="30"/>
      <c r="N36" s="29">
        <v>0</v>
      </c>
      <c r="O36" s="30">
        <f t="shared" si="15"/>
        <v>0</v>
      </c>
      <c r="P36" s="31">
        <v>66.81</v>
      </c>
      <c r="Q36" s="15">
        <f t="shared" si="16"/>
        <v>0.66910365548322492</v>
      </c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15.75" customHeight="1" thickBot="1">
      <c r="A37" s="10">
        <v>0</v>
      </c>
      <c r="B37" s="11">
        <v>7.62</v>
      </c>
      <c r="C37" s="11">
        <v>2</v>
      </c>
      <c r="D37" s="11">
        <v>2</v>
      </c>
      <c r="E37" s="11">
        <v>1</v>
      </c>
      <c r="F37" s="11">
        <v>2</v>
      </c>
      <c r="G37" s="11"/>
      <c r="H37" s="11">
        <v>1</v>
      </c>
      <c r="I37" s="11">
        <f>G37*'week8reox ph7'!$H37</f>
        <v>0</v>
      </c>
      <c r="J37" s="11"/>
      <c r="K37" s="13">
        <v>2</v>
      </c>
      <c r="L37" s="14"/>
      <c r="M37" s="15"/>
      <c r="N37" s="16">
        <v>106.5</v>
      </c>
      <c r="O37" s="15">
        <f t="shared" ref="O37:O43" si="17">N37/$N$37</f>
        <v>1</v>
      </c>
      <c r="P37" s="17">
        <v>100.67</v>
      </c>
      <c r="Q37" s="15">
        <f t="shared" ref="Q37:Q43" si="18">P37/$P$37</f>
        <v>1</v>
      </c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15.75" customHeight="1" thickBot="1">
      <c r="A38" s="19">
        <v>0.43</v>
      </c>
      <c r="B38" s="11">
        <v>7.62</v>
      </c>
      <c r="C38" s="12">
        <v>2</v>
      </c>
      <c r="D38" s="12">
        <v>2</v>
      </c>
      <c r="E38" s="12">
        <v>1</v>
      </c>
      <c r="F38" s="11">
        <v>2</v>
      </c>
      <c r="G38" s="12"/>
      <c r="H38" s="11">
        <v>1</v>
      </c>
      <c r="I38" s="12">
        <f>G38*'week8reox ph7'!$H38</f>
        <v>0</v>
      </c>
      <c r="J38" s="12"/>
      <c r="K38" s="6">
        <v>2</v>
      </c>
      <c r="L38" s="20"/>
      <c r="M38" s="22"/>
      <c r="N38" s="21">
        <v>27.33</v>
      </c>
      <c r="O38" s="15">
        <f t="shared" si="17"/>
        <v>0.25661971830985914</v>
      </c>
      <c r="P38" s="23">
        <v>93.81</v>
      </c>
      <c r="Q38" s="15">
        <f t="shared" si="18"/>
        <v>0.9318565610410251</v>
      </c>
      <c r="R38" s="12"/>
      <c r="S38" s="12"/>
      <c r="T38" s="12"/>
      <c r="U38" s="12"/>
      <c r="V38" s="12"/>
      <c r="W38" s="12"/>
      <c r="X38" s="12"/>
      <c r="Y38" s="12"/>
      <c r="Z38" s="12"/>
    </row>
    <row r="39" spans="1:26" ht="15.75" customHeight="1" thickBot="1">
      <c r="A39" s="19">
        <v>0.66</v>
      </c>
      <c r="B39" s="11">
        <v>7.62</v>
      </c>
      <c r="C39" s="12">
        <v>2</v>
      </c>
      <c r="D39" s="12">
        <v>2</v>
      </c>
      <c r="E39" s="12">
        <v>1</v>
      </c>
      <c r="F39" s="11">
        <v>2</v>
      </c>
      <c r="G39" s="12"/>
      <c r="H39" s="11">
        <v>1</v>
      </c>
      <c r="I39" s="12">
        <f>G39*'week8reox ph7'!$H39</f>
        <v>0</v>
      </c>
      <c r="J39" s="12"/>
      <c r="K39" s="6">
        <v>2</v>
      </c>
      <c r="L39" s="20"/>
      <c r="M39" s="22"/>
      <c r="N39" s="21">
        <v>5.69</v>
      </c>
      <c r="O39" s="15">
        <f t="shared" si="17"/>
        <v>5.3427230046948361E-2</v>
      </c>
      <c r="P39" s="23">
        <v>88.92</v>
      </c>
      <c r="Q39" s="15">
        <f t="shared" si="18"/>
        <v>0.88328201052945265</v>
      </c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5.75" customHeight="1" thickBot="1">
      <c r="A40" s="19">
        <v>1</v>
      </c>
      <c r="B40" s="11">
        <v>7.62</v>
      </c>
      <c r="C40" s="12">
        <v>2</v>
      </c>
      <c r="D40" s="12">
        <v>2</v>
      </c>
      <c r="E40" s="12">
        <v>1</v>
      </c>
      <c r="F40" s="11">
        <v>2</v>
      </c>
      <c r="G40" s="12"/>
      <c r="H40" s="11">
        <v>1</v>
      </c>
      <c r="I40" s="12">
        <f>G40*'week8reox ph7'!$H40</f>
        <v>0</v>
      </c>
      <c r="J40" s="12"/>
      <c r="K40" s="6">
        <v>2</v>
      </c>
      <c r="L40" s="20"/>
      <c r="M40" s="22"/>
      <c r="N40" s="21">
        <v>0.93</v>
      </c>
      <c r="O40" s="15">
        <f t="shared" si="17"/>
        <v>8.7323943661971829E-3</v>
      </c>
      <c r="P40" s="23">
        <v>80.819999999999993</v>
      </c>
      <c r="Q40" s="15">
        <f t="shared" si="18"/>
        <v>0.80282109863911788</v>
      </c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5.75" customHeight="1" thickBot="1">
      <c r="A41" s="19">
        <v>1.33</v>
      </c>
      <c r="B41" s="11">
        <v>7.62</v>
      </c>
      <c r="C41" s="12">
        <v>2</v>
      </c>
      <c r="D41" s="12">
        <v>2</v>
      </c>
      <c r="E41" s="12">
        <v>1</v>
      </c>
      <c r="F41" s="11">
        <v>2</v>
      </c>
      <c r="G41" s="12"/>
      <c r="H41" s="11">
        <v>1</v>
      </c>
      <c r="I41" s="12">
        <f>G41*'week8reox ph7'!$H41</f>
        <v>0</v>
      </c>
      <c r="J41" s="12"/>
      <c r="K41" s="6">
        <v>2</v>
      </c>
      <c r="L41" s="20"/>
      <c r="M41" s="22"/>
      <c r="N41" s="21">
        <v>0.2</v>
      </c>
      <c r="O41" s="15">
        <f t="shared" si="17"/>
        <v>1.8779342723004697E-3</v>
      </c>
      <c r="P41" s="23">
        <v>76.069999999999993</v>
      </c>
      <c r="Q41" s="15">
        <f t="shared" si="18"/>
        <v>0.75563723055527954</v>
      </c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5.75" customHeight="1" thickBot="1">
      <c r="A42" s="19">
        <v>1.76</v>
      </c>
      <c r="B42" s="11">
        <v>7.62</v>
      </c>
      <c r="C42" s="12">
        <v>2</v>
      </c>
      <c r="D42" s="12">
        <v>2</v>
      </c>
      <c r="E42" s="12">
        <v>1</v>
      </c>
      <c r="F42" s="11">
        <v>2</v>
      </c>
      <c r="G42" s="12"/>
      <c r="H42" s="11">
        <v>1</v>
      </c>
      <c r="I42" s="12">
        <f>G42*'week8reox ph7'!$H42</f>
        <v>0</v>
      </c>
      <c r="J42" s="12"/>
      <c r="K42" s="6">
        <v>2</v>
      </c>
      <c r="L42" s="20"/>
      <c r="M42" s="22"/>
      <c r="N42" s="21">
        <v>0</v>
      </c>
      <c r="O42" s="15">
        <f t="shared" si="17"/>
        <v>0</v>
      </c>
      <c r="P42" s="23">
        <v>69.569999999999993</v>
      </c>
      <c r="Q42" s="15">
        <f t="shared" si="18"/>
        <v>0.69106983212476403</v>
      </c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5.75" customHeight="1" thickBot="1">
      <c r="A43" s="25">
        <v>2</v>
      </c>
      <c r="B43" s="11">
        <v>7.62</v>
      </c>
      <c r="C43" s="26">
        <v>2</v>
      </c>
      <c r="D43" s="26">
        <v>2</v>
      </c>
      <c r="E43" s="26">
        <v>1</v>
      </c>
      <c r="F43" s="11">
        <v>2</v>
      </c>
      <c r="G43" s="26"/>
      <c r="H43" s="11">
        <v>1</v>
      </c>
      <c r="I43" s="26">
        <f>G43*'week8reox ph7'!$H43</f>
        <v>0</v>
      </c>
      <c r="J43" s="26"/>
      <c r="K43" s="27">
        <v>2</v>
      </c>
      <c r="L43" s="28"/>
      <c r="M43" s="30"/>
      <c r="N43" s="29">
        <v>0</v>
      </c>
      <c r="O43" s="15">
        <f t="shared" si="17"/>
        <v>0</v>
      </c>
      <c r="P43" s="31">
        <v>70.89</v>
      </c>
      <c r="Q43" s="15">
        <f t="shared" si="18"/>
        <v>0.70418198072911498</v>
      </c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5.75" customHeight="1" thickBot="1">
      <c r="A44" s="10">
        <v>0</v>
      </c>
      <c r="B44" s="11">
        <v>7.62</v>
      </c>
      <c r="C44" s="11">
        <v>2</v>
      </c>
      <c r="D44" s="11">
        <v>1</v>
      </c>
      <c r="E44" s="11">
        <v>1</v>
      </c>
      <c r="F44" s="11">
        <v>2</v>
      </c>
      <c r="G44" s="11">
        <v>1.56</v>
      </c>
      <c r="H44" s="11">
        <v>1</v>
      </c>
      <c r="I44" s="11">
        <f>G44*'week8reox ph7'!$H44</f>
        <v>1.56</v>
      </c>
      <c r="J44" s="11">
        <f t="shared" ref="J44:J50" si="19">I44/$I$44</f>
        <v>1</v>
      </c>
      <c r="K44" s="13">
        <v>2</v>
      </c>
      <c r="L44" s="14"/>
      <c r="M44" s="15"/>
      <c r="N44" s="16">
        <v>97.224999999999994</v>
      </c>
      <c r="O44" s="15">
        <f t="shared" ref="O44:O50" si="20">N44/$N$44</f>
        <v>1</v>
      </c>
      <c r="P44" s="32">
        <v>95.38</v>
      </c>
      <c r="Q44" s="15">
        <f t="shared" ref="Q44:Q50" si="21">P44/$P$44</f>
        <v>1</v>
      </c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15.75" customHeight="1" thickBot="1">
      <c r="A45" s="19">
        <v>0.43</v>
      </c>
      <c r="B45" s="11">
        <v>7.62</v>
      </c>
      <c r="C45" s="12">
        <v>2</v>
      </c>
      <c r="D45" s="12">
        <v>1</v>
      </c>
      <c r="E45" s="12">
        <v>1</v>
      </c>
      <c r="F45" s="11">
        <v>2</v>
      </c>
      <c r="G45" s="12">
        <v>1.35</v>
      </c>
      <c r="H45" s="11">
        <v>1</v>
      </c>
      <c r="I45" s="12">
        <f>G45*'week8reox ph7'!$H45</f>
        <v>1.35</v>
      </c>
      <c r="J45" s="12">
        <f t="shared" si="19"/>
        <v>0.86538461538461542</v>
      </c>
      <c r="K45" s="6">
        <v>2</v>
      </c>
      <c r="L45" s="20"/>
      <c r="M45" s="22"/>
      <c r="N45" s="21">
        <v>24.54</v>
      </c>
      <c r="O45" s="15">
        <f t="shared" si="20"/>
        <v>0.25240421702237081</v>
      </c>
      <c r="P45" s="33">
        <v>88.53</v>
      </c>
      <c r="Q45" s="15">
        <f t="shared" si="21"/>
        <v>0.92818200880687785</v>
      </c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5.75" customHeight="1" thickBot="1">
      <c r="A46" s="19">
        <v>0.66</v>
      </c>
      <c r="B46" s="11">
        <v>7.62</v>
      </c>
      <c r="C46" s="12">
        <v>2</v>
      </c>
      <c r="D46" s="12">
        <v>1</v>
      </c>
      <c r="E46" s="12">
        <v>1</v>
      </c>
      <c r="F46" s="11">
        <v>2</v>
      </c>
      <c r="G46" s="12">
        <v>1.1000000000000001</v>
      </c>
      <c r="H46" s="11">
        <v>1</v>
      </c>
      <c r="I46" s="12">
        <f>G46*'week8reox ph7'!$H46</f>
        <v>1.1000000000000001</v>
      </c>
      <c r="J46" s="12">
        <f t="shared" si="19"/>
        <v>0.70512820512820518</v>
      </c>
      <c r="K46" s="6">
        <v>2</v>
      </c>
      <c r="L46" s="20"/>
      <c r="M46" s="22"/>
      <c r="N46" s="21">
        <v>5.15</v>
      </c>
      <c r="O46" s="15">
        <f t="shared" si="20"/>
        <v>5.2969915145281571E-2</v>
      </c>
      <c r="P46" s="33">
        <v>82.69</v>
      </c>
      <c r="Q46" s="15">
        <f t="shared" si="21"/>
        <v>0.8669532396728874</v>
      </c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5.75" customHeight="1" thickBot="1">
      <c r="A47" s="19">
        <v>1</v>
      </c>
      <c r="B47" s="11">
        <v>7.62</v>
      </c>
      <c r="C47" s="12">
        <v>2</v>
      </c>
      <c r="D47" s="12">
        <v>1</v>
      </c>
      <c r="E47" s="12">
        <v>1</v>
      </c>
      <c r="F47" s="11">
        <v>2</v>
      </c>
      <c r="G47" s="12">
        <v>0.88</v>
      </c>
      <c r="H47" s="11">
        <v>1</v>
      </c>
      <c r="I47" s="12">
        <f>G47*'week8reox ph7'!$H47</f>
        <v>0.88</v>
      </c>
      <c r="J47" s="12">
        <f t="shared" si="19"/>
        <v>0.5641025641025641</v>
      </c>
      <c r="K47" s="6">
        <v>2</v>
      </c>
      <c r="L47" s="20"/>
      <c r="M47" s="22"/>
      <c r="N47" s="21">
        <v>4.6900000000000004</v>
      </c>
      <c r="O47" s="15">
        <f t="shared" si="20"/>
        <v>4.8238621753664189E-2</v>
      </c>
      <c r="P47" s="33">
        <v>84.36</v>
      </c>
      <c r="Q47" s="15">
        <f t="shared" si="21"/>
        <v>0.8844621513944223</v>
      </c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5.75" customHeight="1" thickBot="1">
      <c r="A48" s="19">
        <v>1.33</v>
      </c>
      <c r="B48" s="11">
        <v>7.62</v>
      </c>
      <c r="C48" s="12">
        <v>2</v>
      </c>
      <c r="D48" s="12">
        <v>1</v>
      </c>
      <c r="E48" s="12">
        <v>1</v>
      </c>
      <c r="F48" s="11">
        <v>2</v>
      </c>
      <c r="G48" s="12">
        <v>0.73</v>
      </c>
      <c r="H48" s="11">
        <v>1</v>
      </c>
      <c r="I48" s="12">
        <f>G48*'week8reox ph7'!$H48</f>
        <v>0.73</v>
      </c>
      <c r="J48" s="12">
        <f t="shared" si="19"/>
        <v>0.4679487179487179</v>
      </c>
      <c r="K48" s="6">
        <v>2</v>
      </c>
      <c r="L48" s="20"/>
      <c r="M48" s="22"/>
      <c r="N48" s="21">
        <v>0.91</v>
      </c>
      <c r="O48" s="15">
        <f t="shared" si="20"/>
        <v>9.3597325790691702E-3</v>
      </c>
      <c r="P48" s="33">
        <v>77.94</v>
      </c>
      <c r="Q48" s="15">
        <f t="shared" si="21"/>
        <v>0.81715244286013844</v>
      </c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5.75" customHeight="1" thickBot="1">
      <c r="A49" s="19">
        <v>1.76</v>
      </c>
      <c r="B49" s="11">
        <v>7.62</v>
      </c>
      <c r="C49" s="12">
        <v>2</v>
      </c>
      <c r="D49" s="12">
        <v>1</v>
      </c>
      <c r="E49" s="12">
        <v>1</v>
      </c>
      <c r="F49" s="11">
        <v>2</v>
      </c>
      <c r="G49" s="12">
        <v>0.56000000000000005</v>
      </c>
      <c r="H49" s="11">
        <v>1</v>
      </c>
      <c r="I49" s="12">
        <f>G49*'week8reox ph7'!$H49</f>
        <v>0.56000000000000005</v>
      </c>
      <c r="J49" s="12">
        <f t="shared" si="19"/>
        <v>0.35897435897435898</v>
      </c>
      <c r="K49" s="6">
        <v>2</v>
      </c>
      <c r="L49" s="20"/>
      <c r="M49" s="22"/>
      <c r="N49" s="21">
        <v>0</v>
      </c>
      <c r="O49" s="15">
        <f t="shared" si="20"/>
        <v>0</v>
      </c>
      <c r="P49" s="23">
        <v>61.94</v>
      </c>
      <c r="Q49" s="15">
        <f t="shared" si="21"/>
        <v>0.64940239043824699</v>
      </c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5.75" customHeight="1" thickBot="1">
      <c r="A50" s="25">
        <v>2</v>
      </c>
      <c r="B50" s="11">
        <v>7.62</v>
      </c>
      <c r="C50" s="26">
        <v>2</v>
      </c>
      <c r="D50" s="26">
        <v>1</v>
      </c>
      <c r="E50" s="26">
        <v>1</v>
      </c>
      <c r="F50" s="11">
        <v>2</v>
      </c>
      <c r="G50" s="26">
        <v>0.36</v>
      </c>
      <c r="H50" s="11">
        <v>1</v>
      </c>
      <c r="I50" s="26">
        <f>G50*'week8reox ph7'!$H50</f>
        <v>0.36</v>
      </c>
      <c r="J50" s="26">
        <f t="shared" si="19"/>
        <v>0.23076923076923075</v>
      </c>
      <c r="K50" s="27">
        <v>2</v>
      </c>
      <c r="L50" s="28"/>
      <c r="M50" s="30"/>
      <c r="N50" s="29">
        <v>0</v>
      </c>
      <c r="O50" s="15">
        <f t="shared" si="20"/>
        <v>0</v>
      </c>
      <c r="P50" s="31">
        <v>63.68</v>
      </c>
      <c r="Q50" s="15">
        <f t="shared" si="21"/>
        <v>0.66764520863912769</v>
      </c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5.75" customHeight="1" thickBot="1">
      <c r="A51" s="10">
        <v>0</v>
      </c>
      <c r="B51" s="11">
        <v>7.62</v>
      </c>
      <c r="C51" s="11">
        <v>2</v>
      </c>
      <c r="D51" s="11">
        <v>2</v>
      </c>
      <c r="E51" s="11">
        <v>1</v>
      </c>
      <c r="F51" s="11">
        <v>2</v>
      </c>
      <c r="G51" s="11"/>
      <c r="H51" s="11">
        <v>1</v>
      </c>
      <c r="I51" s="11">
        <f>G51*'week8reox ph7'!$H51</f>
        <v>0</v>
      </c>
      <c r="J51" s="11"/>
      <c r="K51" s="13">
        <v>2</v>
      </c>
      <c r="L51" s="14"/>
      <c r="M51" s="15"/>
      <c r="N51" s="16">
        <v>97.35</v>
      </c>
      <c r="O51" s="15">
        <f t="shared" ref="O51:O57" si="22">N51/$N$51</f>
        <v>1</v>
      </c>
      <c r="P51" s="32">
        <v>96.63</v>
      </c>
      <c r="Q51" s="15">
        <f t="shared" ref="Q51:Q57" si="23">P51/$P$51</f>
        <v>1</v>
      </c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15.75" customHeight="1" thickBot="1">
      <c r="A52" s="19">
        <v>0.43</v>
      </c>
      <c r="B52" s="11">
        <v>7.62</v>
      </c>
      <c r="C52" s="12">
        <v>2</v>
      </c>
      <c r="D52" s="12">
        <v>2</v>
      </c>
      <c r="E52" s="12">
        <v>1</v>
      </c>
      <c r="F52" s="11">
        <v>2</v>
      </c>
      <c r="G52" s="12"/>
      <c r="H52" s="11">
        <v>1</v>
      </c>
      <c r="I52" s="12">
        <f>G52*'week8reox ph7'!$H52</f>
        <v>0</v>
      </c>
      <c r="J52" s="12"/>
      <c r="K52" s="6">
        <v>2</v>
      </c>
      <c r="L52" s="20"/>
      <c r="M52" s="22"/>
      <c r="N52" s="21">
        <v>23.86</v>
      </c>
      <c r="O52" s="15">
        <f t="shared" si="22"/>
        <v>0.24509501797637392</v>
      </c>
      <c r="P52" s="33">
        <v>91.01</v>
      </c>
      <c r="Q52" s="15">
        <f t="shared" si="23"/>
        <v>0.94184000827900249</v>
      </c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5.75" customHeight="1" thickBot="1">
      <c r="A53" s="19">
        <v>0.66</v>
      </c>
      <c r="B53" s="11">
        <v>7.62</v>
      </c>
      <c r="C53" s="12">
        <v>2</v>
      </c>
      <c r="D53" s="12">
        <v>2</v>
      </c>
      <c r="E53" s="12">
        <v>1</v>
      </c>
      <c r="F53" s="11">
        <v>2</v>
      </c>
      <c r="G53" s="12"/>
      <c r="H53" s="11">
        <v>1</v>
      </c>
      <c r="I53" s="12">
        <f>G53*'week8reox ph7'!$H53</f>
        <v>0</v>
      </c>
      <c r="J53" s="12"/>
      <c r="K53" s="6">
        <v>2</v>
      </c>
      <c r="L53" s="20"/>
      <c r="M53" s="22"/>
      <c r="N53" s="21">
        <v>4.8899999999999997</v>
      </c>
      <c r="O53" s="15">
        <f t="shared" si="22"/>
        <v>5.0231124807395992E-2</v>
      </c>
      <c r="P53" s="33">
        <v>81.430000000000007</v>
      </c>
      <c r="Q53" s="15">
        <f t="shared" si="23"/>
        <v>0.84269895477594958</v>
      </c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5.75" customHeight="1" thickBot="1">
      <c r="A54" s="19">
        <v>1</v>
      </c>
      <c r="B54" s="11">
        <v>7.62</v>
      </c>
      <c r="C54" s="12">
        <v>2</v>
      </c>
      <c r="D54" s="12">
        <v>2</v>
      </c>
      <c r="E54" s="12">
        <v>1</v>
      </c>
      <c r="F54" s="11">
        <v>2</v>
      </c>
      <c r="G54" s="12"/>
      <c r="H54" s="11">
        <v>1</v>
      </c>
      <c r="I54" s="12">
        <f>G54*'week8reox ph7'!$H54</f>
        <v>0</v>
      </c>
      <c r="J54" s="12"/>
      <c r="K54" s="6">
        <v>2</v>
      </c>
      <c r="L54" s="20"/>
      <c r="M54" s="22"/>
      <c r="N54" s="21">
        <v>4.63</v>
      </c>
      <c r="O54" s="15">
        <f t="shared" si="22"/>
        <v>4.7560349255264513E-2</v>
      </c>
      <c r="P54" s="33">
        <v>80.790000000000006</v>
      </c>
      <c r="Q54" s="15">
        <f t="shared" si="23"/>
        <v>0.83607575287177904</v>
      </c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5.75" customHeight="1" thickBot="1">
      <c r="A55" s="19">
        <v>1.33</v>
      </c>
      <c r="B55" s="11">
        <v>7.62</v>
      </c>
      <c r="C55" s="12">
        <v>2</v>
      </c>
      <c r="D55" s="12">
        <v>2</v>
      </c>
      <c r="E55" s="12">
        <v>1</v>
      </c>
      <c r="F55" s="11">
        <v>2</v>
      </c>
      <c r="G55" s="12"/>
      <c r="H55" s="11">
        <v>1</v>
      </c>
      <c r="I55" s="12">
        <f>G55*'week8reox ph7'!$H55</f>
        <v>0</v>
      </c>
      <c r="J55" s="12"/>
      <c r="K55" s="6">
        <v>2</v>
      </c>
      <c r="L55" s="20"/>
      <c r="M55" s="22"/>
      <c r="N55" s="21">
        <v>0.88</v>
      </c>
      <c r="O55" s="15">
        <f t="shared" si="22"/>
        <v>9.0395480225988704E-3</v>
      </c>
      <c r="P55" s="33">
        <v>75.45</v>
      </c>
      <c r="Q55" s="15">
        <f t="shared" si="23"/>
        <v>0.78081341198385601</v>
      </c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5.75" customHeight="1" thickBot="1">
      <c r="A56" s="19">
        <v>1.76</v>
      </c>
      <c r="B56" s="11">
        <v>7.62</v>
      </c>
      <c r="C56" s="12">
        <v>2</v>
      </c>
      <c r="D56" s="12">
        <v>2</v>
      </c>
      <c r="E56" s="12">
        <v>1</v>
      </c>
      <c r="F56" s="11">
        <v>2</v>
      </c>
      <c r="G56" s="12"/>
      <c r="H56" s="11">
        <v>1</v>
      </c>
      <c r="I56" s="12">
        <f>G56*'week8reox ph7'!$H56</f>
        <v>0</v>
      </c>
      <c r="J56" s="12"/>
      <c r="K56" s="6">
        <v>2</v>
      </c>
      <c r="L56" s="20"/>
      <c r="M56" s="22"/>
      <c r="N56" s="21">
        <f t="shared" ref="N56:N57" si="24">N49/$N$30</f>
        <v>0</v>
      </c>
      <c r="O56" s="15">
        <f t="shared" si="22"/>
        <v>0</v>
      </c>
      <c r="P56" s="23">
        <v>65.97</v>
      </c>
      <c r="Q56" s="15">
        <f t="shared" si="23"/>
        <v>0.68270723377832976</v>
      </c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5.75" customHeight="1" thickBot="1">
      <c r="A57" s="25">
        <v>2</v>
      </c>
      <c r="B57" s="11">
        <v>7.62</v>
      </c>
      <c r="C57" s="26">
        <v>2</v>
      </c>
      <c r="D57" s="26">
        <v>2</v>
      </c>
      <c r="E57" s="26">
        <v>1</v>
      </c>
      <c r="F57" s="11">
        <v>2</v>
      </c>
      <c r="G57" s="26"/>
      <c r="H57" s="11">
        <v>1</v>
      </c>
      <c r="I57" s="26">
        <f>G57*'week8reox ph7'!$H57</f>
        <v>0</v>
      </c>
      <c r="J57" s="26"/>
      <c r="K57" s="27">
        <v>2</v>
      </c>
      <c r="L57" s="28"/>
      <c r="M57" s="30"/>
      <c r="N57" s="29">
        <f t="shared" si="24"/>
        <v>0</v>
      </c>
      <c r="O57" s="15">
        <f t="shared" si="22"/>
        <v>0</v>
      </c>
      <c r="P57" s="31">
        <v>70.510000000000005</v>
      </c>
      <c r="Q57" s="15">
        <f t="shared" si="23"/>
        <v>0.72969057228603962</v>
      </c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15.75" customHeight="1">
      <c r="K58" s="6"/>
    </row>
    <row r="59" spans="1:26" ht="15.75" customHeight="1">
      <c r="K59" s="6"/>
    </row>
    <row r="60" spans="1:26" ht="15.75" customHeight="1">
      <c r="K60" s="6"/>
    </row>
    <row r="61" spans="1:26" ht="15.75" customHeight="1">
      <c r="K61" s="6"/>
    </row>
    <row r="62" spans="1:26" ht="15.75" customHeight="1">
      <c r="K62" s="6"/>
    </row>
    <row r="63" spans="1:26" ht="15.75" customHeight="1">
      <c r="K63" s="6"/>
    </row>
    <row r="64" spans="1:26" ht="15.75" customHeight="1">
      <c r="K64" s="6"/>
    </row>
    <row r="65" spans="11:11" ht="15.75" customHeight="1">
      <c r="K65" s="6"/>
    </row>
    <row r="66" spans="11:11" ht="15.75" customHeight="1">
      <c r="K66" s="6"/>
    </row>
    <row r="67" spans="11:11" ht="15.75" customHeight="1">
      <c r="K67" s="6"/>
    </row>
    <row r="68" spans="11:11" ht="15.75" customHeight="1">
      <c r="K68" s="6"/>
    </row>
    <row r="69" spans="11:11" ht="15.75" customHeight="1">
      <c r="K69" s="6"/>
    </row>
    <row r="70" spans="11:11" ht="15.75" customHeight="1">
      <c r="K70" s="6"/>
    </row>
    <row r="71" spans="11:11" ht="15.75" customHeight="1">
      <c r="K71" s="6"/>
    </row>
    <row r="72" spans="11:11" ht="15.75" customHeight="1">
      <c r="K72" s="6"/>
    </row>
    <row r="73" spans="11:11" ht="15.75" customHeight="1">
      <c r="K73" s="6"/>
    </row>
    <row r="74" spans="11:11" ht="15.75" customHeight="1">
      <c r="K74" s="6"/>
    </row>
    <row r="75" spans="11:11" ht="15.75" customHeight="1">
      <c r="K75" s="6"/>
    </row>
    <row r="76" spans="11:11" ht="15.75" customHeight="1">
      <c r="K76" s="6"/>
    </row>
    <row r="77" spans="11:11" ht="15.75" customHeight="1">
      <c r="K77" s="6"/>
    </row>
    <row r="78" spans="11:11" ht="15.75" customHeight="1">
      <c r="K78" s="6"/>
    </row>
    <row r="79" spans="11:11" ht="15.75" customHeight="1">
      <c r="K79" s="6"/>
    </row>
    <row r="80" spans="11:11" ht="15.75" customHeight="1">
      <c r="K80" s="6"/>
    </row>
    <row r="81" spans="11:11" ht="15.75" customHeight="1">
      <c r="K81" s="6"/>
    </row>
    <row r="82" spans="11:11" ht="15.75" customHeight="1">
      <c r="K82" s="6"/>
    </row>
    <row r="83" spans="11:11" ht="15.75" customHeight="1">
      <c r="K83" s="6"/>
    </row>
    <row r="84" spans="11:11" ht="15.75" customHeight="1">
      <c r="K84" s="6"/>
    </row>
    <row r="85" spans="11:11" ht="15.75" customHeight="1">
      <c r="K85" s="6"/>
    </row>
    <row r="86" spans="11:11" ht="15.75" customHeight="1">
      <c r="K86" s="6"/>
    </row>
    <row r="87" spans="11:11" ht="15.75" customHeight="1">
      <c r="K87" s="6"/>
    </row>
    <row r="88" spans="11:11" ht="15.75" customHeight="1">
      <c r="K88" s="6"/>
    </row>
    <row r="89" spans="11:11" ht="15.75" customHeight="1">
      <c r="K89" s="6"/>
    </row>
    <row r="90" spans="11:11" ht="15.75" customHeight="1">
      <c r="K90" s="6"/>
    </row>
    <row r="91" spans="11:11" ht="15.75" customHeight="1">
      <c r="K91" s="6"/>
    </row>
    <row r="92" spans="11:11" ht="15.75" customHeight="1">
      <c r="K92" s="6"/>
    </row>
    <row r="93" spans="11:11" ht="15.75" customHeight="1">
      <c r="K93" s="6"/>
    </row>
    <row r="94" spans="11:11" ht="15.75" customHeight="1">
      <c r="K94" s="6"/>
    </row>
    <row r="95" spans="11:11" ht="15.75" customHeight="1">
      <c r="K95" s="6"/>
    </row>
    <row r="96" spans="11:11" ht="15.75" customHeight="1">
      <c r="K96" s="6"/>
    </row>
    <row r="97" spans="11:11" ht="15.75" customHeight="1">
      <c r="K97" s="6"/>
    </row>
    <row r="98" spans="11:11" ht="15.75" customHeight="1">
      <c r="K98" s="6"/>
    </row>
    <row r="99" spans="11:11" ht="15.75" customHeight="1">
      <c r="K99" s="6"/>
    </row>
    <row r="100" spans="11:11" ht="15.75" customHeight="1">
      <c r="K100" s="6"/>
    </row>
    <row r="101" spans="11:11" ht="15.75" customHeight="1">
      <c r="K101" s="6"/>
    </row>
    <row r="102" spans="11:11" ht="15.75" customHeight="1">
      <c r="K102" s="6"/>
    </row>
    <row r="103" spans="11:11" ht="15.75" customHeight="1">
      <c r="K103" s="6"/>
    </row>
    <row r="104" spans="11:11" ht="15.75" customHeight="1">
      <c r="K104" s="6"/>
    </row>
    <row r="105" spans="11:11" ht="15.75" customHeight="1">
      <c r="K105" s="6"/>
    </row>
    <row r="106" spans="11:11" ht="15.75" customHeight="1">
      <c r="K106" s="6"/>
    </row>
    <row r="107" spans="11:11" ht="15.75" customHeight="1">
      <c r="K107" s="6"/>
    </row>
    <row r="108" spans="11:11" ht="15.75" customHeight="1">
      <c r="K108" s="6"/>
    </row>
    <row r="109" spans="11:11" ht="15.75" customHeight="1">
      <c r="K109" s="6"/>
    </row>
    <row r="110" spans="11:11" ht="15.75" customHeight="1">
      <c r="K110" s="6"/>
    </row>
    <row r="111" spans="11:11" ht="15.75" customHeight="1">
      <c r="K111" s="6"/>
    </row>
    <row r="112" spans="11:11" ht="15.75" customHeight="1">
      <c r="K112" s="6"/>
    </row>
    <row r="113" spans="11:11" ht="15.75" customHeight="1">
      <c r="K113" s="6"/>
    </row>
    <row r="114" spans="11:11" ht="15.75" customHeight="1">
      <c r="K114" s="6"/>
    </row>
    <row r="115" spans="11:11" ht="15.75" customHeight="1">
      <c r="K115" s="6"/>
    </row>
    <row r="116" spans="11:11" ht="15.75" customHeight="1">
      <c r="K116" s="6"/>
    </row>
    <row r="117" spans="11:11" ht="15.75" customHeight="1">
      <c r="K117" s="6"/>
    </row>
    <row r="118" spans="11:11" ht="15.75" customHeight="1">
      <c r="K118" s="6"/>
    </row>
    <row r="119" spans="11:11" ht="15.75" customHeight="1">
      <c r="K119" s="6"/>
    </row>
    <row r="120" spans="11:11" ht="15.75" customHeight="1">
      <c r="K120" s="6"/>
    </row>
    <row r="121" spans="11:11" ht="15.75" customHeight="1">
      <c r="K121" s="6"/>
    </row>
    <row r="122" spans="11:11" ht="15.75" customHeight="1">
      <c r="K122" s="6"/>
    </row>
    <row r="123" spans="11:11" ht="15.75" customHeight="1">
      <c r="K123" s="6"/>
    </row>
    <row r="124" spans="11:11" ht="15.75" customHeight="1">
      <c r="K124" s="6"/>
    </row>
    <row r="125" spans="11:11" ht="15.75" customHeight="1">
      <c r="K125" s="6"/>
    </row>
    <row r="126" spans="11:11" ht="15.75" customHeight="1">
      <c r="K126" s="6"/>
    </row>
    <row r="127" spans="11:11" ht="15.75" customHeight="1">
      <c r="K127" s="6"/>
    </row>
    <row r="128" spans="11:11" ht="15.75" customHeight="1">
      <c r="K128" s="6"/>
    </row>
    <row r="129" spans="11:11" ht="15.75" customHeight="1">
      <c r="K129" s="6"/>
    </row>
    <row r="130" spans="11:11" ht="15.75" customHeight="1">
      <c r="K130" s="6"/>
    </row>
    <row r="131" spans="11:11" ht="15.75" customHeight="1">
      <c r="K131" s="6"/>
    </row>
    <row r="132" spans="11:11" ht="15.75" customHeight="1">
      <c r="K132" s="6"/>
    </row>
    <row r="133" spans="11:11" ht="15.75" customHeight="1">
      <c r="K133" s="6"/>
    </row>
    <row r="134" spans="11:11" ht="15.75" customHeight="1">
      <c r="K134" s="6"/>
    </row>
    <row r="135" spans="11:11" ht="15.75" customHeight="1">
      <c r="K135" s="6"/>
    </row>
    <row r="136" spans="11:11" ht="15.75" customHeight="1">
      <c r="K136" s="6"/>
    </row>
    <row r="137" spans="11:11" ht="15.75" customHeight="1">
      <c r="K137" s="6"/>
    </row>
    <row r="138" spans="11:11" ht="15.75" customHeight="1">
      <c r="K138" s="6"/>
    </row>
    <row r="139" spans="11:11" ht="15.75" customHeight="1">
      <c r="K139" s="6"/>
    </row>
    <row r="140" spans="11:11" ht="15.75" customHeight="1">
      <c r="K140" s="6"/>
    </row>
    <row r="141" spans="11:11" ht="15.75" customHeight="1">
      <c r="K141" s="6"/>
    </row>
    <row r="142" spans="11:11" ht="15.75" customHeight="1">
      <c r="K142" s="6"/>
    </row>
    <row r="143" spans="11:11" ht="15.75" customHeight="1">
      <c r="K143" s="6"/>
    </row>
    <row r="144" spans="11:11" ht="15.75" customHeight="1">
      <c r="K144" s="6"/>
    </row>
    <row r="145" spans="11:11" ht="15.75" customHeight="1">
      <c r="K145" s="6"/>
    </row>
    <row r="146" spans="11:11" ht="15.75" customHeight="1">
      <c r="K146" s="6"/>
    </row>
    <row r="147" spans="11:11" ht="15.75" customHeight="1">
      <c r="K147" s="6"/>
    </row>
    <row r="148" spans="11:11" ht="15.75" customHeight="1">
      <c r="K148" s="6"/>
    </row>
    <row r="149" spans="11:11" ht="15.75" customHeight="1">
      <c r="K149" s="6"/>
    </row>
    <row r="150" spans="11:11" ht="15.75" customHeight="1">
      <c r="K150" s="6"/>
    </row>
    <row r="151" spans="11:11" ht="15.75" customHeight="1">
      <c r="K151" s="6"/>
    </row>
    <row r="152" spans="11:11" ht="15.75" customHeight="1">
      <c r="K152" s="6"/>
    </row>
    <row r="153" spans="11:11" ht="15.75" customHeight="1">
      <c r="K153" s="6"/>
    </row>
    <row r="154" spans="11:11" ht="15.75" customHeight="1">
      <c r="K154" s="6"/>
    </row>
    <row r="155" spans="11:11" ht="15.75" customHeight="1">
      <c r="K155" s="6"/>
    </row>
    <row r="156" spans="11:11" ht="15.75" customHeight="1">
      <c r="K156" s="6"/>
    </row>
    <row r="157" spans="11:11" ht="15.75" customHeight="1">
      <c r="K157" s="6"/>
    </row>
    <row r="158" spans="11:11" ht="15.75" customHeight="1">
      <c r="K158" s="6"/>
    </row>
    <row r="159" spans="11:11" ht="15.75" customHeight="1">
      <c r="K159" s="6"/>
    </row>
    <row r="160" spans="11:11" ht="15.75" customHeight="1">
      <c r="K160" s="6"/>
    </row>
    <row r="161" spans="11:11" ht="15.75" customHeight="1">
      <c r="K161" s="6"/>
    </row>
    <row r="162" spans="11:11" ht="15.75" customHeight="1">
      <c r="K162" s="6"/>
    </row>
    <row r="163" spans="11:11" ht="15.75" customHeight="1">
      <c r="K163" s="6"/>
    </row>
    <row r="164" spans="11:11" ht="15.75" customHeight="1">
      <c r="K164" s="6"/>
    </row>
    <row r="165" spans="11:11" ht="15.75" customHeight="1">
      <c r="K165" s="6"/>
    </row>
    <row r="166" spans="11:11" ht="15.75" customHeight="1">
      <c r="K166" s="6"/>
    </row>
    <row r="167" spans="11:11" ht="15.75" customHeight="1">
      <c r="K167" s="6"/>
    </row>
    <row r="168" spans="11:11" ht="15.75" customHeight="1">
      <c r="K168" s="6"/>
    </row>
    <row r="169" spans="11:11" ht="15.75" customHeight="1">
      <c r="K169" s="6"/>
    </row>
    <row r="170" spans="11:11" ht="15.75" customHeight="1">
      <c r="K170" s="6"/>
    </row>
    <row r="171" spans="11:11" ht="15.75" customHeight="1">
      <c r="K171" s="6"/>
    </row>
    <row r="172" spans="11:11" ht="15.75" customHeight="1">
      <c r="K172" s="6"/>
    </row>
    <row r="173" spans="11:11" ht="15.75" customHeight="1">
      <c r="K173" s="6"/>
    </row>
    <row r="174" spans="11:11" ht="15.75" customHeight="1">
      <c r="K174" s="6"/>
    </row>
    <row r="175" spans="11:11" ht="15.75" customHeight="1">
      <c r="K175" s="6"/>
    </row>
    <row r="176" spans="11:11" ht="15.75" customHeight="1">
      <c r="K176" s="6"/>
    </row>
    <row r="177" spans="11:11" ht="15.75" customHeight="1">
      <c r="K177" s="6"/>
    </row>
    <row r="178" spans="11:11" ht="15.75" customHeight="1">
      <c r="K178" s="6"/>
    </row>
    <row r="179" spans="11:11" ht="15.75" customHeight="1">
      <c r="K179" s="6"/>
    </row>
    <row r="180" spans="11:11" ht="15.75" customHeight="1">
      <c r="K180" s="6"/>
    </row>
    <row r="181" spans="11:11" ht="15.75" customHeight="1">
      <c r="K181" s="6"/>
    </row>
    <row r="182" spans="11:11" ht="15.75" customHeight="1">
      <c r="K182" s="6"/>
    </row>
    <row r="183" spans="11:11" ht="15.75" customHeight="1">
      <c r="K183" s="6"/>
    </row>
    <row r="184" spans="11:11" ht="15.75" customHeight="1">
      <c r="K184" s="6"/>
    </row>
    <row r="185" spans="11:11" ht="15.75" customHeight="1">
      <c r="K185" s="6"/>
    </row>
    <row r="186" spans="11:11" ht="15.75" customHeight="1">
      <c r="K186" s="6"/>
    </row>
    <row r="187" spans="11:11" ht="15.75" customHeight="1">
      <c r="K187" s="6"/>
    </row>
    <row r="188" spans="11:11" ht="15.75" customHeight="1">
      <c r="K188" s="6"/>
    </row>
    <row r="189" spans="11:11" ht="15.75" customHeight="1">
      <c r="K189" s="6"/>
    </row>
    <row r="190" spans="11:11" ht="15.75" customHeight="1">
      <c r="K190" s="6"/>
    </row>
    <row r="191" spans="11:11" ht="15.75" customHeight="1">
      <c r="K191" s="6"/>
    </row>
    <row r="192" spans="11:11" ht="15.75" customHeight="1">
      <c r="K192" s="6"/>
    </row>
    <row r="193" spans="11:11" ht="15.75" customHeight="1">
      <c r="K193" s="6"/>
    </row>
    <row r="194" spans="11:11" ht="15.75" customHeight="1">
      <c r="K194" s="6"/>
    </row>
    <row r="195" spans="11:11" ht="15.75" customHeight="1">
      <c r="K195" s="6"/>
    </row>
    <row r="196" spans="11:11" ht="15.75" customHeight="1">
      <c r="K196" s="6"/>
    </row>
    <row r="197" spans="11:11" ht="15.75" customHeight="1">
      <c r="K197" s="6"/>
    </row>
    <row r="198" spans="11:11" ht="15.75" customHeight="1">
      <c r="K198" s="6"/>
    </row>
    <row r="199" spans="11:11" ht="15.75" customHeight="1">
      <c r="K199" s="6"/>
    </row>
    <row r="200" spans="11:11" ht="15.75" customHeight="1">
      <c r="K200" s="6"/>
    </row>
    <row r="201" spans="11:11" ht="15.75" customHeight="1">
      <c r="K201" s="6"/>
    </row>
    <row r="202" spans="11:11" ht="15.75" customHeight="1">
      <c r="K202" s="6"/>
    </row>
    <row r="203" spans="11:11" ht="15.75" customHeight="1">
      <c r="K203" s="6"/>
    </row>
    <row r="204" spans="11:11" ht="15.75" customHeight="1">
      <c r="K204" s="6"/>
    </row>
    <row r="205" spans="11:11" ht="15.75" customHeight="1">
      <c r="K205" s="6"/>
    </row>
    <row r="206" spans="11:11" ht="15.75" customHeight="1">
      <c r="K206" s="6"/>
    </row>
    <row r="207" spans="11:11" ht="15.75" customHeight="1">
      <c r="K207" s="6"/>
    </row>
    <row r="208" spans="11:11" ht="15.75" customHeight="1">
      <c r="K208" s="6"/>
    </row>
    <row r="209" spans="11:11" ht="15.75" customHeight="1">
      <c r="K209" s="6"/>
    </row>
    <row r="210" spans="11:11" ht="15.75" customHeight="1">
      <c r="K210" s="6"/>
    </row>
    <row r="211" spans="11:11" ht="15.75" customHeight="1">
      <c r="K211" s="6"/>
    </row>
    <row r="212" spans="11:11" ht="15.75" customHeight="1">
      <c r="K212" s="6"/>
    </row>
    <row r="213" spans="11:11" ht="15.75" customHeight="1">
      <c r="K213" s="6"/>
    </row>
    <row r="214" spans="11:11" ht="15.75" customHeight="1">
      <c r="K214" s="6"/>
    </row>
    <row r="215" spans="11:11" ht="15.75" customHeight="1">
      <c r="K215" s="6"/>
    </row>
    <row r="216" spans="11:11" ht="15.75" customHeight="1">
      <c r="K216" s="6"/>
    </row>
    <row r="217" spans="11:11" ht="15.75" customHeight="1">
      <c r="K217" s="6"/>
    </row>
    <row r="218" spans="11:11" ht="15.75" customHeight="1">
      <c r="K218" s="6"/>
    </row>
    <row r="219" spans="11:11" ht="15.75" customHeight="1">
      <c r="K219" s="6"/>
    </row>
    <row r="220" spans="11:11" ht="15.75" customHeight="1">
      <c r="K220" s="6"/>
    </row>
    <row r="221" spans="11:11" ht="15.75" customHeight="1">
      <c r="K221" s="6"/>
    </row>
    <row r="222" spans="11:11" ht="15.75" customHeight="1">
      <c r="K222" s="6"/>
    </row>
    <row r="223" spans="11:11" ht="15.75" customHeight="1">
      <c r="K223" s="6"/>
    </row>
    <row r="224" spans="11:11" ht="15.75" customHeight="1">
      <c r="K224" s="6"/>
    </row>
    <row r="225" spans="11:11" ht="15.75" customHeight="1">
      <c r="K225" s="6"/>
    </row>
    <row r="226" spans="11:11" ht="15.75" customHeight="1">
      <c r="K226" s="6"/>
    </row>
    <row r="227" spans="11:11" ht="15.75" customHeight="1">
      <c r="K227" s="6"/>
    </row>
    <row r="228" spans="11:11" ht="15.75" customHeight="1">
      <c r="K228" s="6"/>
    </row>
    <row r="229" spans="11:11" ht="15.75" customHeight="1">
      <c r="K229" s="6"/>
    </row>
    <row r="230" spans="11:11" ht="15.75" customHeight="1">
      <c r="K230" s="6"/>
    </row>
    <row r="231" spans="11:11" ht="15.75" customHeight="1">
      <c r="K231" s="6"/>
    </row>
    <row r="232" spans="11:11" ht="15.75" customHeight="1">
      <c r="K232" s="6"/>
    </row>
    <row r="233" spans="11:11" ht="15.75" customHeight="1">
      <c r="K233" s="6"/>
    </row>
    <row r="234" spans="11:11" ht="15.75" customHeight="1">
      <c r="K234" s="6"/>
    </row>
    <row r="235" spans="11:11" ht="15.75" customHeight="1">
      <c r="K235" s="6"/>
    </row>
    <row r="236" spans="11:11" ht="15.75" customHeight="1">
      <c r="K236" s="6"/>
    </row>
    <row r="237" spans="11:11" ht="15.75" customHeight="1">
      <c r="K237" s="6"/>
    </row>
    <row r="238" spans="11:11" ht="15.75" customHeight="1">
      <c r="K238" s="6"/>
    </row>
    <row r="239" spans="11:11" ht="15.75" customHeight="1">
      <c r="K239" s="6"/>
    </row>
    <row r="240" spans="11:11" ht="15.75" customHeight="1">
      <c r="K240" s="6"/>
    </row>
    <row r="241" spans="11:11" ht="15.75" customHeight="1">
      <c r="K241" s="6"/>
    </row>
    <row r="242" spans="11:11" ht="15.75" customHeight="1">
      <c r="K242" s="6"/>
    </row>
    <row r="243" spans="11:11" ht="15.75" customHeight="1">
      <c r="K243" s="6"/>
    </row>
    <row r="244" spans="11:11" ht="15.75" customHeight="1">
      <c r="K244" s="6"/>
    </row>
    <row r="245" spans="11:11" ht="15.75" customHeight="1">
      <c r="K245" s="6"/>
    </row>
    <row r="246" spans="11:11" ht="15.75" customHeight="1">
      <c r="K246" s="6"/>
    </row>
    <row r="247" spans="11:11" ht="15.75" customHeight="1">
      <c r="K247" s="6"/>
    </row>
    <row r="248" spans="11:11" ht="15.75" customHeight="1">
      <c r="K248" s="6"/>
    </row>
    <row r="249" spans="11:11" ht="15.75" customHeight="1">
      <c r="K249" s="6"/>
    </row>
    <row r="250" spans="11:11" ht="15.75" customHeight="1">
      <c r="K250" s="6"/>
    </row>
    <row r="251" spans="11:11" ht="15.75" customHeight="1">
      <c r="K251" s="6"/>
    </row>
    <row r="252" spans="11:11" ht="15.75" customHeight="1">
      <c r="K252" s="6"/>
    </row>
    <row r="253" spans="11:11" ht="15.75" customHeight="1">
      <c r="K253" s="6"/>
    </row>
    <row r="254" spans="11:11" ht="15.75" customHeight="1">
      <c r="K254" s="6"/>
    </row>
    <row r="255" spans="11:11" ht="15.75" customHeight="1">
      <c r="K255" s="6"/>
    </row>
    <row r="256" spans="11:11" ht="15.75" customHeight="1">
      <c r="K256" s="6"/>
    </row>
    <row r="257" spans="11:11" ht="15.75" customHeight="1">
      <c r="K257" s="6"/>
    </row>
    <row r="258" spans="11:11" ht="15.75" customHeight="1">
      <c r="K258" s="6"/>
    </row>
    <row r="259" spans="11:11" ht="15.75" customHeight="1">
      <c r="K259" s="6"/>
    </row>
    <row r="260" spans="11:11" ht="15.75" customHeight="1">
      <c r="K260" s="6"/>
    </row>
    <row r="261" spans="11:11" ht="15.75" customHeight="1">
      <c r="K261" s="6"/>
    </row>
    <row r="262" spans="11:11" ht="15.75" customHeight="1">
      <c r="K262" s="6"/>
    </row>
    <row r="263" spans="11:11" ht="15.75" customHeight="1">
      <c r="K263" s="6"/>
    </row>
    <row r="264" spans="11:11" ht="15.75" customHeight="1">
      <c r="K264" s="6"/>
    </row>
    <row r="265" spans="11:11" ht="15.75" customHeight="1">
      <c r="K265" s="6"/>
    </row>
    <row r="266" spans="11:11" ht="15.75" customHeight="1">
      <c r="K266" s="6"/>
    </row>
    <row r="267" spans="11:11" ht="15.75" customHeight="1">
      <c r="K267" s="6"/>
    </row>
    <row r="268" spans="11:11" ht="15.75" customHeight="1">
      <c r="K268" s="6"/>
    </row>
    <row r="269" spans="11:11" ht="15.75" customHeight="1">
      <c r="K269" s="6"/>
    </row>
    <row r="270" spans="11:11" ht="15.75" customHeight="1">
      <c r="K270" s="6"/>
    </row>
    <row r="271" spans="11:11" ht="15.75" customHeight="1">
      <c r="K271" s="6"/>
    </row>
    <row r="272" spans="11:11" ht="15.75" customHeight="1">
      <c r="K272" s="6"/>
    </row>
    <row r="273" spans="11:11" ht="15.75" customHeight="1">
      <c r="K273" s="6"/>
    </row>
    <row r="274" spans="11:11" ht="15.75" customHeight="1">
      <c r="K274" s="6"/>
    </row>
    <row r="275" spans="11:11" ht="15.75" customHeight="1">
      <c r="K275" s="6"/>
    </row>
    <row r="276" spans="11:11" ht="15.75" customHeight="1">
      <c r="K276" s="6"/>
    </row>
    <row r="277" spans="11:11" ht="15.75" customHeight="1">
      <c r="K277" s="6"/>
    </row>
    <row r="278" spans="11:11" ht="15.75" customHeight="1">
      <c r="K278" s="6"/>
    </row>
    <row r="279" spans="11:11" ht="15.75" customHeight="1">
      <c r="K279" s="6"/>
    </row>
    <row r="280" spans="11:11" ht="15.75" customHeight="1">
      <c r="K280" s="6"/>
    </row>
    <row r="281" spans="11:11" ht="15.75" customHeight="1">
      <c r="K281" s="6"/>
    </row>
    <row r="282" spans="11:11" ht="15.75" customHeight="1">
      <c r="K282" s="6"/>
    </row>
    <row r="283" spans="11:11" ht="15.75" customHeight="1">
      <c r="K283" s="6"/>
    </row>
    <row r="284" spans="11:11" ht="15.75" customHeight="1">
      <c r="K284" s="6"/>
    </row>
    <row r="285" spans="11:11" ht="15.75" customHeight="1">
      <c r="K285" s="6"/>
    </row>
    <row r="286" spans="11:11" ht="15.75" customHeight="1">
      <c r="K286" s="6"/>
    </row>
    <row r="287" spans="11:11" ht="15.75" customHeight="1">
      <c r="K287" s="6"/>
    </row>
    <row r="288" spans="11:11" ht="15.75" customHeight="1">
      <c r="K288" s="6"/>
    </row>
    <row r="289" spans="11:11" ht="15.75" customHeight="1">
      <c r="K289" s="6"/>
    </row>
    <row r="290" spans="11:11" ht="15.75" customHeight="1">
      <c r="K290" s="6"/>
    </row>
    <row r="291" spans="11:11" ht="15.75" customHeight="1">
      <c r="K291" s="6"/>
    </row>
    <row r="292" spans="11:11" ht="15.75" customHeight="1">
      <c r="K292" s="6"/>
    </row>
    <row r="293" spans="11:11" ht="15.75" customHeight="1">
      <c r="K293" s="6"/>
    </row>
    <row r="294" spans="11:11" ht="15.75" customHeight="1">
      <c r="K294" s="6"/>
    </row>
    <row r="295" spans="11:11" ht="15.75" customHeight="1">
      <c r="K295" s="6"/>
    </row>
    <row r="296" spans="11:11" ht="15.75" customHeight="1">
      <c r="K296" s="6"/>
    </row>
    <row r="297" spans="11:11" ht="15.75" customHeight="1">
      <c r="K297" s="6"/>
    </row>
    <row r="298" spans="11:11" ht="15.75" customHeight="1">
      <c r="K298" s="6"/>
    </row>
    <row r="299" spans="11:11" ht="15.75" customHeight="1">
      <c r="K299" s="6"/>
    </row>
    <row r="300" spans="11:11" ht="15.75" customHeight="1">
      <c r="K300" s="6"/>
    </row>
    <row r="301" spans="11:11" ht="15.75" customHeight="1">
      <c r="K301" s="6"/>
    </row>
    <row r="302" spans="11:11" ht="15.75" customHeight="1">
      <c r="K302" s="6"/>
    </row>
    <row r="303" spans="11:11" ht="15.75" customHeight="1">
      <c r="K303" s="6"/>
    </row>
    <row r="304" spans="11:11" ht="15.75" customHeight="1">
      <c r="K304" s="6"/>
    </row>
    <row r="305" spans="11:11" ht="15.75" customHeight="1">
      <c r="K305" s="6"/>
    </row>
    <row r="306" spans="11:11" ht="15.75" customHeight="1">
      <c r="K306" s="6"/>
    </row>
    <row r="307" spans="11:11" ht="15.75" customHeight="1">
      <c r="K307" s="6"/>
    </row>
    <row r="308" spans="11:11" ht="15.75" customHeight="1">
      <c r="K308" s="6"/>
    </row>
    <row r="309" spans="11:11" ht="15.75" customHeight="1">
      <c r="K309" s="6"/>
    </row>
    <row r="310" spans="11:11" ht="15.75" customHeight="1">
      <c r="K310" s="6"/>
    </row>
    <row r="311" spans="11:11" ht="15.75" customHeight="1">
      <c r="K311" s="6"/>
    </row>
    <row r="312" spans="11:11" ht="15.75" customHeight="1">
      <c r="K312" s="6"/>
    </row>
    <row r="313" spans="11:11" ht="15.75" customHeight="1">
      <c r="K313" s="6"/>
    </row>
    <row r="314" spans="11:11" ht="15.75" customHeight="1">
      <c r="K314" s="6"/>
    </row>
    <row r="315" spans="11:11" ht="15.75" customHeight="1">
      <c r="K315" s="6"/>
    </row>
    <row r="316" spans="11:11" ht="15.75" customHeight="1">
      <c r="K316" s="6"/>
    </row>
    <row r="317" spans="11:11" ht="15.75" customHeight="1">
      <c r="K317" s="6"/>
    </row>
    <row r="318" spans="11:11" ht="15.75" customHeight="1">
      <c r="K318" s="6"/>
    </row>
    <row r="319" spans="11:11" ht="15.75" customHeight="1">
      <c r="K319" s="6"/>
    </row>
    <row r="320" spans="11:11" ht="15.75" customHeight="1">
      <c r="K320" s="6"/>
    </row>
    <row r="321" spans="11:11" ht="15.75" customHeight="1">
      <c r="K321" s="6"/>
    </row>
    <row r="322" spans="11:11" ht="15.75" customHeight="1">
      <c r="K322" s="6"/>
    </row>
    <row r="323" spans="11:11" ht="15.75" customHeight="1">
      <c r="K323" s="6"/>
    </row>
    <row r="324" spans="11:11" ht="15.75" customHeight="1">
      <c r="K324" s="6"/>
    </row>
    <row r="325" spans="11:11" ht="15.75" customHeight="1">
      <c r="K325" s="6"/>
    </row>
    <row r="326" spans="11:11" ht="15.75" customHeight="1">
      <c r="K326" s="6"/>
    </row>
    <row r="327" spans="11:11" ht="15.75" customHeight="1">
      <c r="K327" s="6"/>
    </row>
    <row r="328" spans="11:11" ht="15.75" customHeight="1">
      <c r="K328" s="6"/>
    </row>
    <row r="329" spans="11:11" ht="15.75" customHeight="1">
      <c r="K329" s="6"/>
    </row>
    <row r="330" spans="11:11" ht="15.75" customHeight="1">
      <c r="K330" s="6"/>
    </row>
    <row r="331" spans="11:11" ht="15.75" customHeight="1">
      <c r="K331" s="6"/>
    </row>
    <row r="332" spans="11:11" ht="15.75" customHeight="1">
      <c r="K332" s="6"/>
    </row>
    <row r="333" spans="11:11" ht="15.75" customHeight="1">
      <c r="K333" s="6"/>
    </row>
    <row r="334" spans="11:11" ht="15.75" customHeight="1">
      <c r="K334" s="6"/>
    </row>
    <row r="335" spans="11:11" ht="15.75" customHeight="1">
      <c r="K335" s="6"/>
    </row>
    <row r="336" spans="11:11" ht="15.75" customHeight="1">
      <c r="K336" s="6"/>
    </row>
    <row r="337" spans="11:11" ht="15.75" customHeight="1">
      <c r="K337" s="6"/>
    </row>
    <row r="338" spans="11:11" ht="15.75" customHeight="1">
      <c r="K338" s="6"/>
    </row>
    <row r="339" spans="11:11" ht="15.75" customHeight="1">
      <c r="K339" s="6"/>
    </row>
    <row r="340" spans="11:11" ht="15.75" customHeight="1">
      <c r="K340" s="6"/>
    </row>
    <row r="341" spans="11:11" ht="15.75" customHeight="1">
      <c r="K341" s="6"/>
    </row>
    <row r="342" spans="11:11" ht="15.75" customHeight="1">
      <c r="K342" s="6"/>
    </row>
    <row r="343" spans="11:11" ht="15.75" customHeight="1">
      <c r="K343" s="6"/>
    </row>
    <row r="344" spans="11:11" ht="15.75" customHeight="1">
      <c r="K344" s="6"/>
    </row>
    <row r="345" spans="11:11" ht="15.75" customHeight="1">
      <c r="K345" s="6"/>
    </row>
    <row r="346" spans="11:11" ht="15.75" customHeight="1">
      <c r="K346" s="6"/>
    </row>
    <row r="347" spans="11:11" ht="15.75" customHeight="1">
      <c r="K347" s="6"/>
    </row>
    <row r="348" spans="11:11" ht="15.75" customHeight="1">
      <c r="K348" s="6"/>
    </row>
    <row r="349" spans="11:11" ht="15.75" customHeight="1">
      <c r="K349" s="6"/>
    </row>
    <row r="350" spans="11:11" ht="15.75" customHeight="1">
      <c r="K350" s="6"/>
    </row>
    <row r="351" spans="11:11" ht="15.75" customHeight="1">
      <c r="K351" s="6"/>
    </row>
    <row r="352" spans="11:11" ht="15.75" customHeight="1">
      <c r="K352" s="6"/>
    </row>
    <row r="353" spans="11:11" ht="15.75" customHeight="1">
      <c r="K353" s="6"/>
    </row>
    <row r="354" spans="11:11" ht="15.75" customHeight="1">
      <c r="K354" s="6"/>
    </row>
    <row r="355" spans="11:11" ht="15.75" customHeight="1">
      <c r="K355" s="6"/>
    </row>
    <row r="356" spans="11:11" ht="15.75" customHeight="1">
      <c r="K356" s="6"/>
    </row>
    <row r="357" spans="11:11" ht="15.75" customHeight="1">
      <c r="K357" s="6"/>
    </row>
    <row r="358" spans="11:11" ht="15.75" customHeight="1">
      <c r="K358" s="6"/>
    </row>
    <row r="359" spans="11:11" ht="15.75" customHeight="1">
      <c r="K359" s="6"/>
    </row>
    <row r="360" spans="11:11" ht="15.75" customHeight="1">
      <c r="K360" s="6"/>
    </row>
    <row r="361" spans="11:11" ht="15.75" customHeight="1">
      <c r="K361" s="6"/>
    </row>
    <row r="362" spans="11:11" ht="15.75" customHeight="1">
      <c r="K362" s="6"/>
    </row>
    <row r="363" spans="11:11" ht="15.75" customHeight="1">
      <c r="K363" s="6"/>
    </row>
    <row r="364" spans="11:11" ht="15.75" customHeight="1">
      <c r="K364" s="6"/>
    </row>
    <row r="365" spans="11:11" ht="15.75" customHeight="1">
      <c r="K365" s="6"/>
    </row>
    <row r="366" spans="11:11" ht="15.75" customHeight="1">
      <c r="K366" s="6"/>
    </row>
    <row r="367" spans="11:11" ht="15.75" customHeight="1">
      <c r="K367" s="6"/>
    </row>
    <row r="368" spans="11:11" ht="15.75" customHeight="1">
      <c r="K368" s="6"/>
    </row>
    <row r="369" spans="11:11" ht="15.75" customHeight="1">
      <c r="K369" s="6"/>
    </row>
    <row r="370" spans="11:11" ht="15.75" customHeight="1">
      <c r="K370" s="6"/>
    </row>
    <row r="371" spans="11:11" ht="15.75" customHeight="1">
      <c r="K371" s="6"/>
    </row>
    <row r="372" spans="11:11" ht="15.75" customHeight="1">
      <c r="K372" s="6"/>
    </row>
    <row r="373" spans="11:11" ht="15.75" customHeight="1">
      <c r="K373" s="6"/>
    </row>
    <row r="374" spans="11:11" ht="15.75" customHeight="1">
      <c r="K374" s="6"/>
    </row>
    <row r="375" spans="11:11" ht="15.75" customHeight="1">
      <c r="K375" s="6"/>
    </row>
    <row r="376" spans="11:11" ht="15.75" customHeight="1">
      <c r="K376" s="6"/>
    </row>
    <row r="377" spans="11:11" ht="15.75" customHeight="1">
      <c r="K377" s="6"/>
    </row>
    <row r="378" spans="11:11" ht="15.75" customHeight="1">
      <c r="K378" s="6"/>
    </row>
    <row r="379" spans="11:11" ht="15.75" customHeight="1">
      <c r="K379" s="6"/>
    </row>
    <row r="380" spans="11:11" ht="15.75" customHeight="1">
      <c r="K380" s="6"/>
    </row>
    <row r="381" spans="11:11" ht="15.75" customHeight="1">
      <c r="K381" s="6"/>
    </row>
    <row r="382" spans="11:11" ht="15.75" customHeight="1">
      <c r="K382" s="6"/>
    </row>
    <row r="383" spans="11:11" ht="15.75" customHeight="1">
      <c r="K383" s="6"/>
    </row>
    <row r="384" spans="11:11" ht="15.75" customHeight="1">
      <c r="K384" s="6"/>
    </row>
    <row r="385" spans="11:11" ht="15.75" customHeight="1">
      <c r="K385" s="6"/>
    </row>
    <row r="386" spans="11:11" ht="15.75" customHeight="1">
      <c r="K386" s="6"/>
    </row>
    <row r="387" spans="11:11" ht="15.75" customHeight="1">
      <c r="K387" s="6"/>
    </row>
    <row r="388" spans="11:11" ht="15.75" customHeight="1">
      <c r="K388" s="6"/>
    </row>
    <row r="389" spans="11:11" ht="15.75" customHeight="1">
      <c r="K389" s="6"/>
    </row>
    <row r="390" spans="11:11" ht="15.75" customHeight="1">
      <c r="K390" s="6"/>
    </row>
    <row r="391" spans="11:11" ht="15.75" customHeight="1">
      <c r="K391" s="6"/>
    </row>
    <row r="392" spans="11:11" ht="15.75" customHeight="1">
      <c r="K392" s="6"/>
    </row>
    <row r="393" spans="11:11" ht="15.75" customHeight="1">
      <c r="K393" s="6"/>
    </row>
    <row r="394" spans="11:11" ht="15.75" customHeight="1">
      <c r="K394" s="6"/>
    </row>
    <row r="395" spans="11:11" ht="15.75" customHeight="1">
      <c r="K395" s="6"/>
    </row>
    <row r="396" spans="11:11" ht="15.75" customHeight="1">
      <c r="K396" s="6"/>
    </row>
    <row r="397" spans="11:11" ht="15.75" customHeight="1">
      <c r="K397" s="6"/>
    </row>
    <row r="398" spans="11:11" ht="15.75" customHeight="1">
      <c r="K398" s="6"/>
    </row>
    <row r="399" spans="11:11" ht="15.75" customHeight="1">
      <c r="K399" s="6"/>
    </row>
    <row r="400" spans="11:11" ht="15.75" customHeight="1">
      <c r="K400" s="6"/>
    </row>
    <row r="401" spans="11:11" ht="15.75" customHeight="1">
      <c r="K401" s="6"/>
    </row>
    <row r="402" spans="11:11" ht="15.75" customHeight="1">
      <c r="K402" s="6"/>
    </row>
    <row r="403" spans="11:11" ht="15.75" customHeight="1">
      <c r="K403" s="6"/>
    </row>
    <row r="404" spans="11:11" ht="15.75" customHeight="1">
      <c r="K404" s="6"/>
    </row>
    <row r="405" spans="11:11" ht="15.75" customHeight="1">
      <c r="K405" s="6"/>
    </row>
    <row r="406" spans="11:11" ht="15.75" customHeight="1">
      <c r="K406" s="6"/>
    </row>
    <row r="407" spans="11:11" ht="15.75" customHeight="1">
      <c r="K407" s="6"/>
    </row>
    <row r="408" spans="11:11" ht="15.75" customHeight="1">
      <c r="K408" s="6"/>
    </row>
    <row r="409" spans="11:11" ht="15.75" customHeight="1">
      <c r="K409" s="6"/>
    </row>
    <row r="410" spans="11:11" ht="15.75" customHeight="1">
      <c r="K410" s="6"/>
    </row>
    <row r="411" spans="11:11" ht="15.75" customHeight="1">
      <c r="K411" s="6"/>
    </row>
    <row r="412" spans="11:11" ht="15.75" customHeight="1">
      <c r="K412" s="6"/>
    </row>
    <row r="413" spans="11:11" ht="15.75" customHeight="1">
      <c r="K413" s="6"/>
    </row>
    <row r="414" spans="11:11" ht="15.75" customHeight="1">
      <c r="K414" s="6"/>
    </row>
    <row r="415" spans="11:11" ht="15.75" customHeight="1">
      <c r="K415" s="6"/>
    </row>
    <row r="416" spans="11:11" ht="15.75" customHeight="1">
      <c r="K416" s="6"/>
    </row>
    <row r="417" spans="11:11" ht="15.75" customHeight="1">
      <c r="K417" s="6"/>
    </row>
    <row r="418" spans="11:11" ht="15.75" customHeight="1">
      <c r="K418" s="6"/>
    </row>
    <row r="419" spans="11:11" ht="15.75" customHeight="1">
      <c r="K419" s="6"/>
    </row>
    <row r="420" spans="11:11" ht="15.75" customHeight="1">
      <c r="K420" s="6"/>
    </row>
    <row r="421" spans="11:11" ht="15.75" customHeight="1">
      <c r="K421" s="6"/>
    </row>
    <row r="422" spans="11:11" ht="15.75" customHeight="1">
      <c r="K422" s="6"/>
    </row>
    <row r="423" spans="11:11" ht="15.75" customHeight="1">
      <c r="K423" s="6"/>
    </row>
    <row r="424" spans="11:11" ht="15.75" customHeight="1">
      <c r="K424" s="6"/>
    </row>
    <row r="425" spans="11:11" ht="15.75" customHeight="1">
      <c r="K425" s="6"/>
    </row>
    <row r="426" spans="11:11" ht="15.75" customHeight="1">
      <c r="K426" s="6"/>
    </row>
    <row r="427" spans="11:11" ht="15.75" customHeight="1">
      <c r="K427" s="6"/>
    </row>
    <row r="428" spans="11:11" ht="15.75" customHeight="1">
      <c r="K428" s="6"/>
    </row>
    <row r="429" spans="11:11" ht="15.75" customHeight="1">
      <c r="K429" s="6"/>
    </row>
    <row r="430" spans="11:11" ht="15.75" customHeight="1">
      <c r="K430" s="6"/>
    </row>
    <row r="431" spans="11:11" ht="15.75" customHeight="1">
      <c r="K431" s="6"/>
    </row>
    <row r="432" spans="11:11" ht="15.75" customHeight="1">
      <c r="K432" s="6"/>
    </row>
    <row r="433" spans="11:11" ht="15.75" customHeight="1">
      <c r="K433" s="6"/>
    </row>
    <row r="434" spans="11:11" ht="15.75" customHeight="1">
      <c r="K434" s="6"/>
    </row>
    <row r="435" spans="11:11" ht="15.75" customHeight="1">
      <c r="K435" s="6"/>
    </row>
    <row r="436" spans="11:11" ht="15.75" customHeight="1">
      <c r="K436" s="6"/>
    </row>
    <row r="437" spans="11:11" ht="15.75" customHeight="1">
      <c r="K437" s="6"/>
    </row>
    <row r="438" spans="11:11" ht="15.75" customHeight="1">
      <c r="K438" s="6"/>
    </row>
    <row r="439" spans="11:11" ht="15.75" customHeight="1">
      <c r="K439" s="6"/>
    </row>
    <row r="440" spans="11:11" ht="15.75" customHeight="1">
      <c r="K440" s="6"/>
    </row>
    <row r="441" spans="11:11" ht="15.75" customHeight="1">
      <c r="K441" s="6"/>
    </row>
    <row r="442" spans="11:11" ht="15.75" customHeight="1">
      <c r="K442" s="6"/>
    </row>
    <row r="443" spans="11:11" ht="15.75" customHeight="1">
      <c r="K443" s="6"/>
    </row>
    <row r="444" spans="11:11" ht="15.75" customHeight="1">
      <c r="K444" s="6"/>
    </row>
    <row r="445" spans="11:11" ht="15.75" customHeight="1">
      <c r="K445" s="6"/>
    </row>
    <row r="446" spans="11:11" ht="15.75" customHeight="1">
      <c r="K446" s="6"/>
    </row>
    <row r="447" spans="11:11" ht="15.75" customHeight="1">
      <c r="K447" s="6"/>
    </row>
    <row r="448" spans="11:11" ht="15.75" customHeight="1">
      <c r="K448" s="6"/>
    </row>
    <row r="449" spans="11:11" ht="15.75" customHeight="1">
      <c r="K449" s="6"/>
    </row>
    <row r="450" spans="11:11" ht="15.75" customHeight="1">
      <c r="K450" s="6"/>
    </row>
    <row r="451" spans="11:11" ht="15.75" customHeight="1">
      <c r="K451" s="6"/>
    </row>
    <row r="452" spans="11:11" ht="15.75" customHeight="1">
      <c r="K452" s="6"/>
    </row>
    <row r="453" spans="11:11" ht="15.75" customHeight="1">
      <c r="K453" s="6"/>
    </row>
    <row r="454" spans="11:11" ht="15.75" customHeight="1">
      <c r="K454" s="6"/>
    </row>
    <row r="455" spans="11:11" ht="15.75" customHeight="1">
      <c r="K455" s="6"/>
    </row>
    <row r="456" spans="11:11" ht="15.75" customHeight="1">
      <c r="K456" s="6"/>
    </row>
    <row r="457" spans="11:11" ht="15.75" customHeight="1">
      <c r="K457" s="6"/>
    </row>
    <row r="458" spans="11:11" ht="15.75" customHeight="1">
      <c r="K458" s="6"/>
    </row>
    <row r="459" spans="11:11" ht="15.75" customHeight="1">
      <c r="K459" s="6"/>
    </row>
    <row r="460" spans="11:11" ht="15.75" customHeight="1">
      <c r="K460" s="6"/>
    </row>
    <row r="461" spans="11:11" ht="15.75" customHeight="1">
      <c r="K461" s="6"/>
    </row>
    <row r="462" spans="11:11" ht="15.75" customHeight="1">
      <c r="K462" s="6"/>
    </row>
    <row r="463" spans="11:11" ht="15.75" customHeight="1">
      <c r="K463" s="6"/>
    </row>
    <row r="464" spans="11:11" ht="15.75" customHeight="1">
      <c r="K464" s="6"/>
    </row>
    <row r="465" spans="11:11" ht="15.75" customHeight="1">
      <c r="K465" s="6"/>
    </row>
    <row r="466" spans="11:11" ht="15.75" customHeight="1">
      <c r="K466" s="6"/>
    </row>
    <row r="467" spans="11:11" ht="15.75" customHeight="1">
      <c r="K467" s="6"/>
    </row>
    <row r="468" spans="11:11" ht="15.75" customHeight="1">
      <c r="K468" s="6"/>
    </row>
    <row r="469" spans="11:11" ht="15.75" customHeight="1">
      <c r="K469" s="6"/>
    </row>
    <row r="470" spans="11:11" ht="15.75" customHeight="1">
      <c r="K470" s="6"/>
    </row>
    <row r="471" spans="11:11" ht="15.75" customHeight="1">
      <c r="K471" s="6"/>
    </row>
    <row r="472" spans="11:11" ht="15.75" customHeight="1">
      <c r="K472" s="6"/>
    </row>
    <row r="473" spans="11:11" ht="15.75" customHeight="1">
      <c r="K473" s="6"/>
    </row>
    <row r="474" spans="11:11" ht="15.75" customHeight="1">
      <c r="K474" s="6"/>
    </row>
    <row r="475" spans="11:11" ht="15.75" customHeight="1">
      <c r="K475" s="6"/>
    </row>
    <row r="476" spans="11:11" ht="15.75" customHeight="1">
      <c r="K476" s="6"/>
    </row>
    <row r="477" spans="11:11" ht="15.75" customHeight="1">
      <c r="K477" s="6"/>
    </row>
    <row r="478" spans="11:11" ht="15.75" customHeight="1">
      <c r="K478" s="6"/>
    </row>
    <row r="479" spans="11:11" ht="15.75" customHeight="1">
      <c r="K479" s="6"/>
    </row>
    <row r="480" spans="11:11" ht="15.75" customHeight="1">
      <c r="K480" s="6"/>
    </row>
    <row r="481" spans="11:11" ht="15.75" customHeight="1">
      <c r="K481" s="6"/>
    </row>
    <row r="482" spans="11:11" ht="15.75" customHeight="1">
      <c r="K482" s="6"/>
    </row>
    <row r="483" spans="11:11" ht="15.75" customHeight="1">
      <c r="K483" s="6"/>
    </row>
    <row r="484" spans="11:11" ht="15.75" customHeight="1">
      <c r="K484" s="6"/>
    </row>
    <row r="485" spans="11:11" ht="15.75" customHeight="1">
      <c r="K485" s="6"/>
    </row>
    <row r="486" spans="11:11" ht="15.75" customHeight="1">
      <c r="K486" s="6"/>
    </row>
    <row r="487" spans="11:11" ht="15.75" customHeight="1">
      <c r="K487" s="6"/>
    </row>
    <row r="488" spans="11:11" ht="15.75" customHeight="1">
      <c r="K488" s="6"/>
    </row>
    <row r="489" spans="11:11" ht="15.75" customHeight="1">
      <c r="K489" s="6"/>
    </row>
    <row r="490" spans="11:11" ht="15.75" customHeight="1">
      <c r="K490" s="6"/>
    </row>
    <row r="491" spans="11:11" ht="15.75" customHeight="1">
      <c r="K491" s="6"/>
    </row>
    <row r="492" spans="11:11" ht="15.75" customHeight="1">
      <c r="K492" s="6"/>
    </row>
    <row r="493" spans="11:11" ht="15.75" customHeight="1">
      <c r="K493" s="6"/>
    </row>
    <row r="494" spans="11:11" ht="15.75" customHeight="1">
      <c r="K494" s="6"/>
    </row>
    <row r="495" spans="11:11" ht="15.75" customHeight="1">
      <c r="K495" s="6"/>
    </row>
    <row r="496" spans="11:11" ht="15.75" customHeight="1">
      <c r="K496" s="6"/>
    </row>
    <row r="497" spans="11:11" ht="15.75" customHeight="1">
      <c r="K497" s="6"/>
    </row>
    <row r="498" spans="11:11" ht="15.75" customHeight="1">
      <c r="K498" s="6"/>
    </row>
    <row r="499" spans="11:11" ht="15.75" customHeight="1">
      <c r="K499" s="6"/>
    </row>
    <row r="500" spans="11:11" ht="15.75" customHeight="1">
      <c r="K500" s="6"/>
    </row>
    <row r="501" spans="11:11" ht="15.75" customHeight="1">
      <c r="K501" s="6"/>
    </row>
    <row r="502" spans="11:11" ht="15.75" customHeight="1">
      <c r="K502" s="6"/>
    </row>
    <row r="503" spans="11:11" ht="15.75" customHeight="1">
      <c r="K503" s="6"/>
    </row>
    <row r="504" spans="11:11" ht="15.75" customHeight="1">
      <c r="K504" s="6"/>
    </row>
    <row r="505" spans="11:11" ht="15.75" customHeight="1">
      <c r="K505" s="6"/>
    </row>
    <row r="506" spans="11:11" ht="15.75" customHeight="1">
      <c r="K506" s="6"/>
    </row>
    <row r="507" spans="11:11" ht="15.75" customHeight="1">
      <c r="K507" s="6"/>
    </row>
    <row r="508" spans="11:11" ht="15.75" customHeight="1">
      <c r="K508" s="6"/>
    </row>
    <row r="509" spans="11:11" ht="15.75" customHeight="1">
      <c r="K509" s="6"/>
    </row>
    <row r="510" spans="11:11" ht="15.75" customHeight="1">
      <c r="K510" s="6"/>
    </row>
    <row r="511" spans="11:11" ht="15.75" customHeight="1">
      <c r="K511" s="6"/>
    </row>
    <row r="512" spans="11:11" ht="15.75" customHeight="1">
      <c r="K512" s="6"/>
    </row>
    <row r="513" spans="11:11" ht="15.75" customHeight="1">
      <c r="K513" s="6"/>
    </row>
    <row r="514" spans="11:11" ht="15.75" customHeight="1">
      <c r="K514" s="6"/>
    </row>
    <row r="515" spans="11:11" ht="15.75" customHeight="1">
      <c r="K515" s="6"/>
    </row>
    <row r="516" spans="11:11" ht="15.75" customHeight="1">
      <c r="K516" s="6"/>
    </row>
    <row r="517" spans="11:11" ht="15.75" customHeight="1">
      <c r="K517" s="6"/>
    </row>
    <row r="518" spans="11:11" ht="15.75" customHeight="1">
      <c r="K518" s="6"/>
    </row>
    <row r="519" spans="11:11" ht="15.75" customHeight="1">
      <c r="K519" s="6"/>
    </row>
    <row r="520" spans="11:11" ht="15.75" customHeight="1">
      <c r="K520" s="6"/>
    </row>
    <row r="521" spans="11:11" ht="15.75" customHeight="1">
      <c r="K521" s="6"/>
    </row>
    <row r="522" spans="11:11" ht="15.75" customHeight="1">
      <c r="K522" s="6"/>
    </row>
    <row r="523" spans="11:11" ht="15.75" customHeight="1">
      <c r="K523" s="6"/>
    </row>
    <row r="524" spans="11:11" ht="15.75" customHeight="1">
      <c r="K524" s="6"/>
    </row>
    <row r="525" spans="11:11" ht="15.75" customHeight="1">
      <c r="K525" s="6"/>
    </row>
    <row r="526" spans="11:11" ht="15.75" customHeight="1">
      <c r="K526" s="6"/>
    </row>
    <row r="527" spans="11:11" ht="15.75" customHeight="1">
      <c r="K527" s="6"/>
    </row>
    <row r="528" spans="11:11" ht="15.75" customHeight="1">
      <c r="K528" s="6"/>
    </row>
    <row r="529" spans="11:11" ht="15.75" customHeight="1">
      <c r="K529" s="6"/>
    </row>
    <row r="530" spans="11:11" ht="15.75" customHeight="1">
      <c r="K530" s="6"/>
    </row>
    <row r="531" spans="11:11" ht="15.75" customHeight="1">
      <c r="K531" s="6"/>
    </row>
    <row r="532" spans="11:11" ht="15.75" customHeight="1">
      <c r="K532" s="6"/>
    </row>
    <row r="533" spans="11:11" ht="15.75" customHeight="1">
      <c r="K533" s="6"/>
    </row>
    <row r="534" spans="11:11" ht="15.75" customHeight="1">
      <c r="K534" s="6"/>
    </row>
    <row r="535" spans="11:11" ht="15.75" customHeight="1">
      <c r="K535" s="6"/>
    </row>
    <row r="536" spans="11:11" ht="15.75" customHeight="1">
      <c r="K536" s="6"/>
    </row>
    <row r="537" spans="11:11" ht="15.75" customHeight="1">
      <c r="K537" s="6"/>
    </row>
    <row r="538" spans="11:11" ht="15.75" customHeight="1">
      <c r="K538" s="6"/>
    </row>
    <row r="539" spans="11:11" ht="15.75" customHeight="1">
      <c r="K539" s="6"/>
    </row>
    <row r="540" spans="11:11" ht="15.75" customHeight="1">
      <c r="K540" s="6"/>
    </row>
    <row r="541" spans="11:11" ht="15.75" customHeight="1">
      <c r="K541" s="6"/>
    </row>
    <row r="542" spans="11:11" ht="15.75" customHeight="1">
      <c r="K542" s="6"/>
    </row>
    <row r="543" spans="11:11" ht="15.75" customHeight="1">
      <c r="K543" s="6"/>
    </row>
    <row r="544" spans="11:11" ht="15.75" customHeight="1">
      <c r="K544" s="6"/>
    </row>
    <row r="545" spans="11:11" ht="15.75" customHeight="1">
      <c r="K545" s="6"/>
    </row>
    <row r="546" spans="11:11" ht="15.75" customHeight="1">
      <c r="K546" s="6"/>
    </row>
    <row r="547" spans="11:11" ht="15.75" customHeight="1">
      <c r="K547" s="6"/>
    </row>
    <row r="548" spans="11:11" ht="15.75" customHeight="1">
      <c r="K548" s="6"/>
    </row>
    <row r="549" spans="11:11" ht="15.75" customHeight="1">
      <c r="K549" s="6"/>
    </row>
    <row r="550" spans="11:11" ht="15.75" customHeight="1">
      <c r="K550" s="6"/>
    </row>
    <row r="551" spans="11:11" ht="15.75" customHeight="1">
      <c r="K551" s="6"/>
    </row>
    <row r="552" spans="11:11" ht="15.75" customHeight="1">
      <c r="K552" s="6"/>
    </row>
    <row r="553" spans="11:11" ht="15.75" customHeight="1">
      <c r="K553" s="6"/>
    </row>
    <row r="554" spans="11:11" ht="15.75" customHeight="1">
      <c r="K554" s="6"/>
    </row>
    <row r="555" spans="11:11" ht="15.75" customHeight="1">
      <c r="K555" s="6"/>
    </row>
    <row r="556" spans="11:11" ht="15.75" customHeight="1">
      <c r="K556" s="6"/>
    </row>
    <row r="557" spans="11:11" ht="15.75" customHeight="1">
      <c r="K557" s="6"/>
    </row>
    <row r="558" spans="11:11" ht="15.75" customHeight="1">
      <c r="K558" s="6"/>
    </row>
    <row r="559" spans="11:11" ht="15.75" customHeight="1">
      <c r="K559" s="6"/>
    </row>
    <row r="560" spans="11:11" ht="15.75" customHeight="1">
      <c r="K560" s="6"/>
    </row>
    <row r="561" spans="11:11" ht="15.75" customHeight="1">
      <c r="K561" s="6"/>
    </row>
    <row r="562" spans="11:11" ht="15.75" customHeight="1">
      <c r="K562" s="6"/>
    </row>
    <row r="563" spans="11:11" ht="15.75" customHeight="1">
      <c r="K563" s="6"/>
    </row>
    <row r="564" spans="11:11" ht="15.75" customHeight="1">
      <c r="K564" s="6"/>
    </row>
    <row r="565" spans="11:11" ht="15.75" customHeight="1">
      <c r="K565" s="6"/>
    </row>
    <row r="566" spans="11:11" ht="15.75" customHeight="1">
      <c r="K566" s="6"/>
    </row>
    <row r="567" spans="11:11" ht="15.75" customHeight="1">
      <c r="K567" s="6"/>
    </row>
    <row r="568" spans="11:11" ht="15.75" customHeight="1">
      <c r="K568" s="6"/>
    </row>
    <row r="569" spans="11:11" ht="15.75" customHeight="1">
      <c r="K569" s="6"/>
    </row>
    <row r="570" spans="11:11" ht="15.75" customHeight="1">
      <c r="K570" s="6"/>
    </row>
    <row r="571" spans="11:11" ht="15.75" customHeight="1">
      <c r="K571" s="6"/>
    </row>
    <row r="572" spans="11:11" ht="15.75" customHeight="1">
      <c r="K572" s="6"/>
    </row>
    <row r="573" spans="11:11" ht="15.75" customHeight="1">
      <c r="K573" s="6"/>
    </row>
    <row r="574" spans="11:11" ht="15.75" customHeight="1">
      <c r="K574" s="6"/>
    </row>
    <row r="575" spans="11:11" ht="15.75" customHeight="1">
      <c r="K575" s="6"/>
    </row>
    <row r="576" spans="11:11" ht="15.75" customHeight="1">
      <c r="K576" s="6"/>
    </row>
    <row r="577" spans="11:11" ht="15.75" customHeight="1">
      <c r="K577" s="6"/>
    </row>
    <row r="578" spans="11:11" ht="15.75" customHeight="1">
      <c r="K578" s="6"/>
    </row>
    <row r="579" spans="11:11" ht="15.75" customHeight="1">
      <c r="K579" s="6"/>
    </row>
    <row r="580" spans="11:11" ht="15.75" customHeight="1">
      <c r="K580" s="6"/>
    </row>
    <row r="581" spans="11:11" ht="15.75" customHeight="1">
      <c r="K581" s="6"/>
    </row>
    <row r="582" spans="11:11" ht="15.75" customHeight="1">
      <c r="K582" s="6"/>
    </row>
    <row r="583" spans="11:11" ht="15.75" customHeight="1">
      <c r="K583" s="6"/>
    </row>
    <row r="584" spans="11:11" ht="15.75" customHeight="1">
      <c r="K584" s="6"/>
    </row>
    <row r="585" spans="11:11" ht="15.75" customHeight="1">
      <c r="K585" s="6"/>
    </row>
    <row r="586" spans="11:11" ht="15.75" customHeight="1">
      <c r="K586" s="6"/>
    </row>
    <row r="587" spans="11:11" ht="15.75" customHeight="1">
      <c r="K587" s="6"/>
    </row>
    <row r="588" spans="11:11" ht="15.75" customHeight="1">
      <c r="K588" s="6"/>
    </row>
    <row r="589" spans="11:11" ht="15.75" customHeight="1">
      <c r="K589" s="6"/>
    </row>
    <row r="590" spans="11:11" ht="15.75" customHeight="1">
      <c r="K590" s="6"/>
    </row>
    <row r="591" spans="11:11" ht="15.75" customHeight="1">
      <c r="K591" s="6"/>
    </row>
    <row r="592" spans="11:11" ht="15.75" customHeight="1">
      <c r="K592" s="6"/>
    </row>
    <row r="593" spans="11:11" ht="15.75" customHeight="1">
      <c r="K593" s="6"/>
    </row>
    <row r="594" spans="11:11" ht="15.75" customHeight="1">
      <c r="K594" s="6"/>
    </row>
    <row r="595" spans="11:11" ht="15.75" customHeight="1">
      <c r="K595" s="6"/>
    </row>
    <row r="596" spans="11:11" ht="15.75" customHeight="1">
      <c r="K596" s="6"/>
    </row>
    <row r="597" spans="11:11" ht="15.75" customHeight="1">
      <c r="K597" s="6"/>
    </row>
    <row r="598" spans="11:11" ht="15.75" customHeight="1">
      <c r="K598" s="6"/>
    </row>
    <row r="599" spans="11:11" ht="15.75" customHeight="1">
      <c r="K599" s="6"/>
    </row>
    <row r="600" spans="11:11" ht="15.75" customHeight="1">
      <c r="K600" s="6"/>
    </row>
    <row r="601" spans="11:11" ht="15.75" customHeight="1">
      <c r="K601" s="6"/>
    </row>
    <row r="602" spans="11:11" ht="15.75" customHeight="1">
      <c r="K602" s="6"/>
    </row>
    <row r="603" spans="11:11" ht="15.75" customHeight="1">
      <c r="K603" s="6"/>
    </row>
    <row r="604" spans="11:11" ht="15.75" customHeight="1">
      <c r="K604" s="6"/>
    </row>
    <row r="605" spans="11:11" ht="15.75" customHeight="1">
      <c r="K605" s="6"/>
    </row>
    <row r="606" spans="11:11" ht="15.75" customHeight="1">
      <c r="K606" s="6"/>
    </row>
    <row r="607" spans="11:11" ht="15.75" customHeight="1">
      <c r="K607" s="6"/>
    </row>
    <row r="608" spans="11:11" ht="15.75" customHeight="1">
      <c r="K608" s="6"/>
    </row>
    <row r="609" spans="11:11" ht="15.75" customHeight="1">
      <c r="K609" s="6"/>
    </row>
    <row r="610" spans="11:11" ht="15.75" customHeight="1">
      <c r="K610" s="6"/>
    </row>
    <row r="611" spans="11:11" ht="15.75" customHeight="1">
      <c r="K611" s="6"/>
    </row>
    <row r="612" spans="11:11" ht="15.75" customHeight="1">
      <c r="K612" s="6"/>
    </row>
    <row r="613" spans="11:11" ht="15.75" customHeight="1">
      <c r="K613" s="6"/>
    </row>
    <row r="614" spans="11:11" ht="15.75" customHeight="1">
      <c r="K614" s="6"/>
    </row>
    <row r="615" spans="11:11" ht="15.75" customHeight="1">
      <c r="K615" s="6"/>
    </row>
    <row r="616" spans="11:11" ht="15.75" customHeight="1">
      <c r="K616" s="6"/>
    </row>
    <row r="617" spans="11:11" ht="15.75" customHeight="1">
      <c r="K617" s="6"/>
    </row>
    <row r="618" spans="11:11" ht="15.75" customHeight="1">
      <c r="K618" s="6"/>
    </row>
    <row r="619" spans="11:11" ht="15.75" customHeight="1">
      <c r="K619" s="6"/>
    </row>
    <row r="620" spans="11:11" ht="15.75" customHeight="1">
      <c r="K620" s="6"/>
    </row>
    <row r="621" spans="11:11" ht="15.75" customHeight="1">
      <c r="K621" s="6"/>
    </row>
    <row r="622" spans="11:11" ht="15.75" customHeight="1">
      <c r="K622" s="6"/>
    </row>
    <row r="623" spans="11:11" ht="15.75" customHeight="1">
      <c r="K623" s="6"/>
    </row>
    <row r="624" spans="11:11" ht="15.75" customHeight="1">
      <c r="K624" s="6"/>
    </row>
    <row r="625" spans="11:11" ht="15.75" customHeight="1">
      <c r="K625" s="6"/>
    </row>
    <row r="626" spans="11:11" ht="15.75" customHeight="1">
      <c r="K626" s="6"/>
    </row>
    <row r="627" spans="11:11" ht="15.75" customHeight="1">
      <c r="K627" s="6"/>
    </row>
    <row r="628" spans="11:11" ht="15.75" customHeight="1">
      <c r="K628" s="6"/>
    </row>
    <row r="629" spans="11:11" ht="15.75" customHeight="1">
      <c r="K629" s="6"/>
    </row>
    <row r="630" spans="11:11" ht="15.75" customHeight="1">
      <c r="K630" s="6"/>
    </row>
    <row r="631" spans="11:11" ht="15.75" customHeight="1">
      <c r="K631" s="6"/>
    </row>
    <row r="632" spans="11:11" ht="15.75" customHeight="1">
      <c r="K632" s="6"/>
    </row>
    <row r="633" spans="11:11" ht="15.75" customHeight="1">
      <c r="K633" s="6"/>
    </row>
    <row r="634" spans="11:11" ht="15.75" customHeight="1">
      <c r="K634" s="6"/>
    </row>
    <row r="635" spans="11:11" ht="15.75" customHeight="1">
      <c r="K635" s="6"/>
    </row>
    <row r="636" spans="11:11" ht="15.75" customHeight="1">
      <c r="K636" s="6"/>
    </row>
    <row r="637" spans="11:11" ht="15.75" customHeight="1">
      <c r="K637" s="6"/>
    </row>
    <row r="638" spans="11:11" ht="15.75" customHeight="1">
      <c r="K638" s="6"/>
    </row>
    <row r="639" spans="11:11" ht="15.75" customHeight="1">
      <c r="K639" s="6"/>
    </row>
    <row r="640" spans="11:11" ht="15.75" customHeight="1">
      <c r="K640" s="6"/>
    </row>
    <row r="641" spans="11:11" ht="15.75" customHeight="1">
      <c r="K641" s="6"/>
    </row>
    <row r="642" spans="11:11" ht="15.75" customHeight="1">
      <c r="K642" s="6"/>
    </row>
    <row r="643" spans="11:11" ht="15.75" customHeight="1">
      <c r="K643" s="6"/>
    </row>
    <row r="644" spans="11:11" ht="15.75" customHeight="1">
      <c r="K644" s="6"/>
    </row>
    <row r="645" spans="11:11" ht="15.75" customHeight="1">
      <c r="K645" s="6"/>
    </row>
    <row r="646" spans="11:11" ht="15.75" customHeight="1">
      <c r="K646" s="6"/>
    </row>
    <row r="647" spans="11:11" ht="15.75" customHeight="1">
      <c r="K647" s="6"/>
    </row>
    <row r="648" spans="11:11" ht="15.75" customHeight="1">
      <c r="K648" s="6"/>
    </row>
    <row r="649" spans="11:11" ht="15.75" customHeight="1">
      <c r="K649" s="6"/>
    </row>
    <row r="650" spans="11:11" ht="15.75" customHeight="1">
      <c r="K650" s="6"/>
    </row>
    <row r="651" spans="11:11" ht="15.75" customHeight="1">
      <c r="K651" s="6"/>
    </row>
    <row r="652" spans="11:11" ht="15.75" customHeight="1">
      <c r="K652" s="6"/>
    </row>
    <row r="653" spans="11:11" ht="15.75" customHeight="1">
      <c r="K653" s="6"/>
    </row>
    <row r="654" spans="11:11" ht="15.75" customHeight="1">
      <c r="K654" s="6"/>
    </row>
    <row r="655" spans="11:11" ht="15.75" customHeight="1">
      <c r="K655" s="6"/>
    </row>
    <row r="656" spans="11:11" ht="15.75" customHeight="1">
      <c r="K656" s="6"/>
    </row>
    <row r="657" spans="11:11" ht="15.75" customHeight="1">
      <c r="K657" s="6"/>
    </row>
    <row r="658" spans="11:11" ht="15.75" customHeight="1">
      <c r="K658" s="6"/>
    </row>
    <row r="659" spans="11:11" ht="15.75" customHeight="1">
      <c r="K659" s="6"/>
    </row>
    <row r="660" spans="11:11" ht="15.75" customHeight="1">
      <c r="K660" s="6"/>
    </row>
    <row r="661" spans="11:11" ht="15.75" customHeight="1">
      <c r="K661" s="6"/>
    </row>
    <row r="662" spans="11:11" ht="15.75" customHeight="1">
      <c r="K662" s="6"/>
    </row>
    <row r="663" spans="11:11" ht="15.75" customHeight="1">
      <c r="K663" s="6"/>
    </row>
    <row r="664" spans="11:11" ht="15.75" customHeight="1">
      <c r="K664" s="6"/>
    </row>
    <row r="665" spans="11:11" ht="15.75" customHeight="1">
      <c r="K665" s="6"/>
    </row>
    <row r="666" spans="11:11" ht="15.75" customHeight="1">
      <c r="K666" s="6"/>
    </row>
    <row r="667" spans="11:11" ht="15.75" customHeight="1">
      <c r="K667" s="6"/>
    </row>
    <row r="668" spans="11:11" ht="15.75" customHeight="1">
      <c r="K668" s="6"/>
    </row>
    <row r="669" spans="11:11" ht="15.75" customHeight="1">
      <c r="K669" s="6"/>
    </row>
    <row r="670" spans="11:11" ht="15.75" customHeight="1">
      <c r="K670" s="6"/>
    </row>
    <row r="671" spans="11:11" ht="15.75" customHeight="1">
      <c r="K671" s="6"/>
    </row>
    <row r="672" spans="11:11" ht="15.75" customHeight="1">
      <c r="K672" s="6"/>
    </row>
    <row r="673" spans="11:11" ht="15.75" customHeight="1">
      <c r="K673" s="6"/>
    </row>
    <row r="674" spans="11:11" ht="15.75" customHeight="1">
      <c r="K674" s="6"/>
    </row>
    <row r="675" spans="11:11" ht="15.75" customHeight="1">
      <c r="K675" s="6"/>
    </row>
    <row r="676" spans="11:11" ht="15.75" customHeight="1">
      <c r="K676" s="6"/>
    </row>
    <row r="677" spans="11:11" ht="15.75" customHeight="1">
      <c r="K677" s="6"/>
    </row>
    <row r="678" spans="11:11" ht="15.75" customHeight="1">
      <c r="K678" s="6"/>
    </row>
    <row r="679" spans="11:11" ht="15.75" customHeight="1">
      <c r="K679" s="6"/>
    </row>
    <row r="680" spans="11:11" ht="15.75" customHeight="1">
      <c r="K680" s="6"/>
    </row>
    <row r="681" spans="11:11" ht="15.75" customHeight="1">
      <c r="K681" s="6"/>
    </row>
    <row r="682" spans="11:11" ht="15.75" customHeight="1">
      <c r="K682" s="6"/>
    </row>
    <row r="683" spans="11:11" ht="15.75" customHeight="1">
      <c r="K683" s="6"/>
    </row>
    <row r="684" spans="11:11" ht="15.75" customHeight="1">
      <c r="K684" s="6"/>
    </row>
    <row r="685" spans="11:11" ht="15.75" customHeight="1">
      <c r="K685" s="6"/>
    </row>
    <row r="686" spans="11:11" ht="15.75" customHeight="1">
      <c r="K686" s="6"/>
    </row>
    <row r="687" spans="11:11" ht="15.75" customHeight="1">
      <c r="K687" s="6"/>
    </row>
    <row r="688" spans="11:11" ht="15.75" customHeight="1">
      <c r="K688" s="6"/>
    </row>
    <row r="689" spans="11:11" ht="15.75" customHeight="1">
      <c r="K689" s="6"/>
    </row>
    <row r="690" spans="11:11" ht="15.75" customHeight="1">
      <c r="K690" s="6"/>
    </row>
    <row r="691" spans="11:11" ht="15.75" customHeight="1">
      <c r="K691" s="6"/>
    </row>
    <row r="692" spans="11:11" ht="15.75" customHeight="1">
      <c r="K692" s="6"/>
    </row>
    <row r="693" spans="11:11" ht="15.75" customHeight="1">
      <c r="K693" s="6"/>
    </row>
    <row r="694" spans="11:11" ht="15.75" customHeight="1">
      <c r="K694" s="6"/>
    </row>
    <row r="695" spans="11:11" ht="15.75" customHeight="1">
      <c r="K695" s="6"/>
    </row>
    <row r="696" spans="11:11" ht="15.75" customHeight="1">
      <c r="K696" s="6"/>
    </row>
    <row r="697" spans="11:11" ht="15.75" customHeight="1">
      <c r="K697" s="6"/>
    </row>
    <row r="698" spans="11:11" ht="15.75" customHeight="1">
      <c r="K698" s="6"/>
    </row>
    <row r="699" spans="11:11" ht="15.75" customHeight="1">
      <c r="K699" s="6"/>
    </row>
    <row r="700" spans="11:11" ht="15.75" customHeight="1">
      <c r="K700" s="6"/>
    </row>
    <row r="701" spans="11:11" ht="15.75" customHeight="1">
      <c r="K701" s="6"/>
    </row>
    <row r="702" spans="11:11" ht="15.75" customHeight="1">
      <c r="K702" s="6"/>
    </row>
    <row r="703" spans="11:11" ht="15.75" customHeight="1">
      <c r="K703" s="6"/>
    </row>
    <row r="704" spans="11:11" ht="15.75" customHeight="1">
      <c r="K704" s="6"/>
    </row>
    <row r="705" spans="11:11" ht="15.75" customHeight="1">
      <c r="K705" s="6"/>
    </row>
    <row r="706" spans="11:11" ht="15.75" customHeight="1">
      <c r="K706" s="6"/>
    </row>
    <row r="707" spans="11:11" ht="15.75" customHeight="1">
      <c r="K707" s="6"/>
    </row>
    <row r="708" spans="11:11" ht="15.75" customHeight="1">
      <c r="K708" s="6"/>
    </row>
    <row r="709" spans="11:11" ht="15.75" customHeight="1">
      <c r="K709" s="6"/>
    </row>
    <row r="710" spans="11:11" ht="15.75" customHeight="1">
      <c r="K710" s="6"/>
    </row>
    <row r="711" spans="11:11" ht="15.75" customHeight="1">
      <c r="K711" s="6"/>
    </row>
    <row r="712" spans="11:11" ht="15.75" customHeight="1">
      <c r="K712" s="6"/>
    </row>
    <row r="713" spans="11:11" ht="15.75" customHeight="1">
      <c r="K713" s="6"/>
    </row>
    <row r="714" spans="11:11" ht="15.75" customHeight="1">
      <c r="K714" s="6"/>
    </row>
    <row r="715" spans="11:11" ht="15.75" customHeight="1">
      <c r="K715" s="6"/>
    </row>
    <row r="716" spans="11:11" ht="15.75" customHeight="1">
      <c r="K716" s="6"/>
    </row>
    <row r="717" spans="11:11" ht="15.75" customHeight="1">
      <c r="K717" s="6"/>
    </row>
    <row r="718" spans="11:11" ht="15.75" customHeight="1">
      <c r="K718" s="6"/>
    </row>
    <row r="719" spans="11:11" ht="15.75" customHeight="1">
      <c r="K719" s="6"/>
    </row>
    <row r="720" spans="11:11" ht="15.75" customHeight="1">
      <c r="K720" s="6"/>
    </row>
    <row r="721" spans="11:11" ht="15.75" customHeight="1">
      <c r="K721" s="6"/>
    </row>
    <row r="722" spans="11:11" ht="15.75" customHeight="1">
      <c r="K722" s="6"/>
    </row>
    <row r="723" spans="11:11" ht="15.75" customHeight="1">
      <c r="K723" s="6"/>
    </row>
    <row r="724" spans="11:11" ht="15.75" customHeight="1">
      <c r="K724" s="6"/>
    </row>
    <row r="725" spans="11:11" ht="15.75" customHeight="1">
      <c r="K725" s="6"/>
    </row>
    <row r="726" spans="11:11" ht="15.75" customHeight="1">
      <c r="K726" s="6"/>
    </row>
    <row r="727" spans="11:11" ht="15.75" customHeight="1">
      <c r="K727" s="6"/>
    </row>
    <row r="728" spans="11:11" ht="15.75" customHeight="1">
      <c r="K728" s="6"/>
    </row>
    <row r="729" spans="11:11" ht="15.75" customHeight="1">
      <c r="K729" s="6"/>
    </row>
    <row r="730" spans="11:11" ht="15.75" customHeight="1">
      <c r="K730" s="6"/>
    </row>
    <row r="731" spans="11:11" ht="15.75" customHeight="1">
      <c r="K731" s="6"/>
    </row>
    <row r="732" spans="11:11" ht="15.75" customHeight="1">
      <c r="K732" s="6"/>
    </row>
    <row r="733" spans="11:11" ht="15.75" customHeight="1">
      <c r="K733" s="6"/>
    </row>
    <row r="734" spans="11:11" ht="15.75" customHeight="1">
      <c r="K734" s="6"/>
    </row>
    <row r="735" spans="11:11" ht="15.75" customHeight="1">
      <c r="K735" s="6"/>
    </row>
    <row r="736" spans="11:11" ht="15.75" customHeight="1">
      <c r="K736" s="6"/>
    </row>
    <row r="737" spans="11:11" ht="15.75" customHeight="1">
      <c r="K737" s="6"/>
    </row>
    <row r="738" spans="11:11" ht="15.75" customHeight="1">
      <c r="K738" s="6"/>
    </row>
    <row r="739" spans="11:11" ht="15.75" customHeight="1">
      <c r="K739" s="6"/>
    </row>
    <row r="740" spans="11:11" ht="15.75" customHeight="1">
      <c r="K740" s="6"/>
    </row>
    <row r="741" spans="11:11" ht="15.75" customHeight="1">
      <c r="K741" s="6"/>
    </row>
    <row r="742" spans="11:11" ht="15.75" customHeight="1">
      <c r="K742" s="6"/>
    </row>
    <row r="743" spans="11:11" ht="15.75" customHeight="1">
      <c r="K743" s="6"/>
    </row>
    <row r="744" spans="11:11" ht="15.75" customHeight="1">
      <c r="K744" s="6"/>
    </row>
    <row r="745" spans="11:11" ht="15.75" customHeight="1">
      <c r="K745" s="6"/>
    </row>
    <row r="746" spans="11:11" ht="15.75" customHeight="1">
      <c r="K746" s="6"/>
    </row>
    <row r="747" spans="11:11" ht="15.75" customHeight="1">
      <c r="K747" s="6"/>
    </row>
    <row r="748" spans="11:11" ht="15.75" customHeight="1">
      <c r="K748" s="6"/>
    </row>
    <row r="749" spans="11:11" ht="15.75" customHeight="1">
      <c r="K749" s="6"/>
    </row>
    <row r="750" spans="11:11" ht="15.75" customHeight="1">
      <c r="K750" s="6"/>
    </row>
    <row r="751" spans="11:11" ht="15.75" customHeight="1">
      <c r="K751" s="6"/>
    </row>
    <row r="752" spans="11:11" ht="15.75" customHeight="1">
      <c r="K752" s="6"/>
    </row>
    <row r="753" spans="11:11" ht="15.75" customHeight="1">
      <c r="K753" s="6"/>
    </row>
    <row r="754" spans="11:11" ht="15.75" customHeight="1">
      <c r="K754" s="6"/>
    </row>
    <row r="755" spans="11:11" ht="15.75" customHeight="1">
      <c r="K755" s="6"/>
    </row>
    <row r="756" spans="11:11" ht="15.75" customHeight="1">
      <c r="K756" s="6"/>
    </row>
    <row r="757" spans="11:11" ht="15.75" customHeight="1">
      <c r="K757" s="6"/>
    </row>
    <row r="758" spans="11:11" ht="15.75" customHeight="1">
      <c r="K758" s="6"/>
    </row>
    <row r="759" spans="11:11" ht="15.75" customHeight="1">
      <c r="K759" s="6"/>
    </row>
    <row r="760" spans="11:11" ht="15.75" customHeight="1">
      <c r="K760" s="6"/>
    </row>
    <row r="761" spans="11:11" ht="15.75" customHeight="1">
      <c r="K761" s="6"/>
    </row>
    <row r="762" spans="11:11" ht="15.75" customHeight="1">
      <c r="K762" s="6"/>
    </row>
    <row r="763" spans="11:11" ht="15.75" customHeight="1">
      <c r="K763" s="6"/>
    </row>
    <row r="764" spans="11:11" ht="15.75" customHeight="1">
      <c r="K764" s="6"/>
    </row>
    <row r="765" spans="11:11" ht="15.75" customHeight="1">
      <c r="K765" s="6"/>
    </row>
    <row r="766" spans="11:11" ht="15.75" customHeight="1">
      <c r="K766" s="6"/>
    </row>
    <row r="767" spans="11:11" ht="15.75" customHeight="1">
      <c r="K767" s="6"/>
    </row>
    <row r="768" spans="11:11" ht="15.75" customHeight="1">
      <c r="K768" s="6"/>
    </row>
    <row r="769" spans="11:11" ht="15.75" customHeight="1">
      <c r="K769" s="6"/>
    </row>
    <row r="770" spans="11:11" ht="15.75" customHeight="1">
      <c r="K770" s="6"/>
    </row>
    <row r="771" spans="11:11" ht="15.75" customHeight="1">
      <c r="K771" s="6"/>
    </row>
    <row r="772" spans="11:11" ht="15.75" customHeight="1">
      <c r="K772" s="6"/>
    </row>
    <row r="773" spans="11:11" ht="15.75" customHeight="1">
      <c r="K773" s="6"/>
    </row>
    <row r="774" spans="11:11" ht="15.75" customHeight="1">
      <c r="K774" s="6"/>
    </row>
    <row r="775" spans="11:11" ht="15.75" customHeight="1">
      <c r="K775" s="6"/>
    </row>
    <row r="776" spans="11:11" ht="15.75" customHeight="1">
      <c r="K776" s="6"/>
    </row>
    <row r="777" spans="11:11" ht="15.75" customHeight="1">
      <c r="K777" s="6"/>
    </row>
    <row r="778" spans="11:11" ht="15.75" customHeight="1">
      <c r="K778" s="6"/>
    </row>
    <row r="779" spans="11:11" ht="15.75" customHeight="1">
      <c r="K779" s="6"/>
    </row>
    <row r="780" spans="11:11" ht="15.75" customHeight="1">
      <c r="K780" s="6"/>
    </row>
    <row r="781" spans="11:11" ht="15.75" customHeight="1">
      <c r="K781" s="6"/>
    </row>
    <row r="782" spans="11:11" ht="15.75" customHeight="1">
      <c r="K782" s="6"/>
    </row>
    <row r="783" spans="11:11" ht="15.75" customHeight="1">
      <c r="K783" s="6"/>
    </row>
    <row r="784" spans="11:11" ht="15.75" customHeight="1">
      <c r="K784" s="6"/>
    </row>
    <row r="785" spans="11:11" ht="15.75" customHeight="1">
      <c r="K785" s="6"/>
    </row>
    <row r="786" spans="11:11" ht="15.75" customHeight="1">
      <c r="K786" s="6"/>
    </row>
    <row r="787" spans="11:11" ht="15.75" customHeight="1">
      <c r="K787" s="6"/>
    </row>
    <row r="788" spans="11:11" ht="15.75" customHeight="1">
      <c r="K788" s="6"/>
    </row>
    <row r="789" spans="11:11" ht="15.75" customHeight="1">
      <c r="K789" s="6"/>
    </row>
    <row r="790" spans="11:11" ht="15.75" customHeight="1">
      <c r="K790" s="6"/>
    </row>
    <row r="791" spans="11:11" ht="15.75" customHeight="1">
      <c r="K791" s="6"/>
    </row>
    <row r="792" spans="11:11" ht="15.75" customHeight="1">
      <c r="K792" s="6"/>
    </row>
    <row r="793" spans="11:11" ht="15.75" customHeight="1">
      <c r="K793" s="6"/>
    </row>
    <row r="794" spans="11:11" ht="15.75" customHeight="1">
      <c r="K794" s="6"/>
    </row>
    <row r="795" spans="11:11" ht="15.75" customHeight="1">
      <c r="K795" s="6"/>
    </row>
    <row r="796" spans="11:11" ht="15.75" customHeight="1">
      <c r="K796" s="6"/>
    </row>
    <row r="797" spans="11:11" ht="15.75" customHeight="1">
      <c r="K797" s="6"/>
    </row>
    <row r="798" spans="11:11" ht="15.75" customHeight="1">
      <c r="K798" s="6"/>
    </row>
    <row r="799" spans="11:11" ht="15.75" customHeight="1">
      <c r="K799" s="6"/>
    </row>
    <row r="800" spans="11:11" ht="15.75" customHeight="1">
      <c r="K800" s="6"/>
    </row>
    <row r="801" spans="11:11" ht="15.75" customHeight="1">
      <c r="K801" s="6"/>
    </row>
    <row r="802" spans="11:11" ht="15.75" customHeight="1">
      <c r="K802" s="6"/>
    </row>
    <row r="803" spans="11:11" ht="15.75" customHeight="1">
      <c r="K803" s="6"/>
    </row>
    <row r="804" spans="11:11" ht="15.75" customHeight="1">
      <c r="K804" s="6"/>
    </row>
    <row r="805" spans="11:11" ht="15.75" customHeight="1">
      <c r="K805" s="6"/>
    </row>
    <row r="806" spans="11:11" ht="15.75" customHeight="1">
      <c r="K806" s="6"/>
    </row>
    <row r="807" spans="11:11" ht="15.75" customHeight="1">
      <c r="K807" s="6"/>
    </row>
    <row r="808" spans="11:11" ht="15.75" customHeight="1">
      <c r="K808" s="6"/>
    </row>
    <row r="809" spans="11:11" ht="15.75" customHeight="1">
      <c r="K809" s="6"/>
    </row>
    <row r="810" spans="11:11" ht="15.75" customHeight="1">
      <c r="K810" s="6"/>
    </row>
    <row r="811" spans="11:11" ht="15.75" customHeight="1">
      <c r="K811" s="6"/>
    </row>
    <row r="812" spans="11:11" ht="15.75" customHeight="1">
      <c r="K812" s="6"/>
    </row>
    <row r="813" spans="11:11" ht="15.75" customHeight="1">
      <c r="K813" s="6"/>
    </row>
    <row r="814" spans="11:11" ht="15.75" customHeight="1">
      <c r="K814" s="6"/>
    </row>
    <row r="815" spans="11:11" ht="15.75" customHeight="1">
      <c r="K815" s="6"/>
    </row>
    <row r="816" spans="11:11" ht="15.75" customHeight="1">
      <c r="K816" s="6"/>
    </row>
    <row r="817" spans="11:11" ht="15.75" customHeight="1">
      <c r="K817" s="6"/>
    </row>
    <row r="818" spans="11:11" ht="15.75" customHeight="1">
      <c r="K818" s="6"/>
    </row>
    <row r="819" spans="11:11" ht="15.75" customHeight="1">
      <c r="K819" s="6"/>
    </row>
    <row r="820" spans="11:11" ht="15.75" customHeight="1">
      <c r="K820" s="6"/>
    </row>
    <row r="821" spans="11:11" ht="15.75" customHeight="1">
      <c r="K821" s="6"/>
    </row>
    <row r="822" spans="11:11" ht="15.75" customHeight="1">
      <c r="K822" s="6"/>
    </row>
    <row r="823" spans="11:11" ht="15.75" customHeight="1">
      <c r="K823" s="6"/>
    </row>
    <row r="824" spans="11:11" ht="15.75" customHeight="1">
      <c r="K824" s="6"/>
    </row>
    <row r="825" spans="11:11" ht="15.75" customHeight="1">
      <c r="K825" s="6"/>
    </row>
    <row r="826" spans="11:11" ht="15.75" customHeight="1">
      <c r="K826" s="6"/>
    </row>
    <row r="827" spans="11:11" ht="15.75" customHeight="1">
      <c r="K827" s="6"/>
    </row>
    <row r="828" spans="11:11" ht="15.75" customHeight="1">
      <c r="K828" s="6"/>
    </row>
    <row r="829" spans="11:11" ht="15.75" customHeight="1">
      <c r="K829" s="6"/>
    </row>
    <row r="830" spans="11:11" ht="15.75" customHeight="1">
      <c r="K830" s="6"/>
    </row>
    <row r="831" spans="11:11" ht="15.75" customHeight="1">
      <c r="K831" s="6"/>
    </row>
    <row r="832" spans="11:11" ht="15.75" customHeight="1">
      <c r="K832" s="6"/>
    </row>
    <row r="833" spans="11:11" ht="15.75" customHeight="1">
      <c r="K833" s="6"/>
    </row>
    <row r="834" spans="11:11" ht="15.75" customHeight="1">
      <c r="K834" s="6"/>
    </row>
    <row r="835" spans="11:11" ht="15.75" customHeight="1">
      <c r="K835" s="6"/>
    </row>
    <row r="836" spans="11:11" ht="15.75" customHeight="1">
      <c r="K836" s="6"/>
    </row>
    <row r="837" spans="11:11" ht="15.75" customHeight="1">
      <c r="K837" s="6"/>
    </row>
    <row r="838" spans="11:11" ht="15.75" customHeight="1">
      <c r="K838" s="6"/>
    </row>
    <row r="839" spans="11:11" ht="15.75" customHeight="1">
      <c r="K839" s="6"/>
    </row>
    <row r="840" spans="11:11" ht="15.75" customHeight="1">
      <c r="K840" s="6"/>
    </row>
    <row r="841" spans="11:11" ht="15.75" customHeight="1">
      <c r="K841" s="6"/>
    </row>
    <row r="842" spans="11:11" ht="15.75" customHeight="1">
      <c r="K842" s="6"/>
    </row>
    <row r="843" spans="11:11" ht="15.75" customHeight="1">
      <c r="K843" s="6"/>
    </row>
    <row r="844" spans="11:11" ht="15.75" customHeight="1">
      <c r="K844" s="6"/>
    </row>
    <row r="845" spans="11:11" ht="15.75" customHeight="1">
      <c r="K845" s="6"/>
    </row>
    <row r="846" spans="11:11" ht="15.75" customHeight="1">
      <c r="K846" s="6"/>
    </row>
    <row r="847" spans="11:11" ht="15.75" customHeight="1">
      <c r="K847" s="6"/>
    </row>
    <row r="848" spans="11:11" ht="15.75" customHeight="1">
      <c r="K848" s="6"/>
    </row>
    <row r="849" spans="11:11" ht="15.75" customHeight="1">
      <c r="K849" s="6"/>
    </row>
    <row r="850" spans="11:11" ht="15.75" customHeight="1">
      <c r="K850" s="6"/>
    </row>
    <row r="851" spans="11:11" ht="15.75" customHeight="1">
      <c r="K851" s="6"/>
    </row>
    <row r="852" spans="11:11" ht="15.75" customHeight="1">
      <c r="K852" s="6"/>
    </row>
    <row r="853" spans="11:11" ht="15.75" customHeight="1">
      <c r="K853" s="6"/>
    </row>
    <row r="854" spans="11:11" ht="15.75" customHeight="1">
      <c r="K854" s="6"/>
    </row>
    <row r="855" spans="11:11" ht="15.75" customHeight="1">
      <c r="K855" s="6"/>
    </row>
    <row r="856" spans="11:11" ht="15.75" customHeight="1">
      <c r="K856" s="6"/>
    </row>
    <row r="857" spans="11:11" ht="15.75" customHeight="1">
      <c r="K857" s="6"/>
    </row>
    <row r="858" spans="11:11" ht="15.75" customHeight="1">
      <c r="K858" s="6"/>
    </row>
    <row r="859" spans="11:11" ht="15.75" customHeight="1">
      <c r="K859" s="6"/>
    </row>
    <row r="860" spans="11:11" ht="15.75" customHeight="1">
      <c r="K860" s="6"/>
    </row>
    <row r="861" spans="11:11" ht="15.75" customHeight="1">
      <c r="K861" s="6"/>
    </row>
    <row r="862" spans="11:11" ht="15.75" customHeight="1">
      <c r="K862" s="6"/>
    </row>
    <row r="863" spans="11:11" ht="15.75" customHeight="1">
      <c r="K863" s="6"/>
    </row>
    <row r="864" spans="11:11" ht="15.75" customHeight="1">
      <c r="K864" s="6"/>
    </row>
    <row r="865" spans="11:11" ht="15.75" customHeight="1">
      <c r="K865" s="6"/>
    </row>
    <row r="866" spans="11:11" ht="15.75" customHeight="1">
      <c r="K866" s="6"/>
    </row>
    <row r="867" spans="11:11" ht="15.75" customHeight="1">
      <c r="K867" s="6"/>
    </row>
    <row r="868" spans="11:11" ht="15.75" customHeight="1">
      <c r="K868" s="6"/>
    </row>
    <row r="869" spans="11:11" ht="15.75" customHeight="1">
      <c r="K869" s="6"/>
    </row>
    <row r="870" spans="11:11" ht="15.75" customHeight="1">
      <c r="K870" s="6"/>
    </row>
    <row r="871" spans="11:11" ht="15.75" customHeight="1">
      <c r="K871" s="6"/>
    </row>
    <row r="872" spans="11:11" ht="15.75" customHeight="1">
      <c r="K872" s="6"/>
    </row>
    <row r="873" spans="11:11" ht="15.75" customHeight="1">
      <c r="K873" s="6"/>
    </row>
    <row r="874" spans="11:11" ht="15.75" customHeight="1">
      <c r="K874" s="6"/>
    </row>
    <row r="875" spans="11:11" ht="15.75" customHeight="1">
      <c r="K875" s="6"/>
    </row>
    <row r="876" spans="11:11" ht="15.75" customHeight="1">
      <c r="K876" s="6"/>
    </row>
    <row r="877" spans="11:11" ht="15.75" customHeight="1">
      <c r="K877" s="6"/>
    </row>
    <row r="878" spans="11:11" ht="15.75" customHeight="1">
      <c r="K878" s="6"/>
    </row>
    <row r="879" spans="11:11" ht="15.75" customHeight="1">
      <c r="K879" s="6"/>
    </row>
    <row r="880" spans="11:11" ht="15.75" customHeight="1">
      <c r="K880" s="6"/>
    </row>
    <row r="881" spans="11:11" ht="15.75" customHeight="1">
      <c r="K881" s="6"/>
    </row>
    <row r="882" spans="11:11" ht="15.75" customHeight="1">
      <c r="K882" s="6"/>
    </row>
    <row r="883" spans="11:11" ht="15.75" customHeight="1">
      <c r="K883" s="6"/>
    </row>
    <row r="884" spans="11:11" ht="15.75" customHeight="1">
      <c r="K884" s="6"/>
    </row>
    <row r="885" spans="11:11" ht="15.75" customHeight="1">
      <c r="K885" s="6"/>
    </row>
    <row r="886" spans="11:11" ht="15.75" customHeight="1">
      <c r="K886" s="6"/>
    </row>
    <row r="887" spans="11:11" ht="15.75" customHeight="1">
      <c r="K887" s="6"/>
    </row>
    <row r="888" spans="11:11" ht="15.75" customHeight="1">
      <c r="K888" s="6"/>
    </row>
    <row r="889" spans="11:11" ht="15.75" customHeight="1">
      <c r="K889" s="6"/>
    </row>
    <row r="890" spans="11:11" ht="15.75" customHeight="1">
      <c r="K890" s="6"/>
    </row>
    <row r="891" spans="11:11" ht="15.75" customHeight="1">
      <c r="K891" s="6"/>
    </row>
    <row r="892" spans="11:11" ht="15.75" customHeight="1">
      <c r="K892" s="6"/>
    </row>
    <row r="893" spans="11:11" ht="15.75" customHeight="1">
      <c r="K893" s="6"/>
    </row>
    <row r="894" spans="11:11" ht="15.75" customHeight="1">
      <c r="K894" s="6"/>
    </row>
    <row r="895" spans="11:11" ht="15.75" customHeight="1">
      <c r="K895" s="6"/>
    </row>
    <row r="896" spans="11:11" ht="15.75" customHeight="1">
      <c r="K896" s="6"/>
    </row>
    <row r="897" spans="11:11" ht="15.75" customHeight="1">
      <c r="K897" s="6"/>
    </row>
    <row r="898" spans="11:11" ht="15.75" customHeight="1">
      <c r="K898" s="6"/>
    </row>
    <row r="899" spans="11:11" ht="15.75" customHeight="1">
      <c r="K899" s="6"/>
    </row>
    <row r="900" spans="11:11" ht="15.75" customHeight="1">
      <c r="K900" s="6"/>
    </row>
    <row r="901" spans="11:11" ht="15.75" customHeight="1">
      <c r="K901" s="6"/>
    </row>
    <row r="902" spans="11:11" ht="15.75" customHeight="1">
      <c r="K902" s="6"/>
    </row>
    <row r="903" spans="11:11" ht="15.75" customHeight="1">
      <c r="K903" s="6"/>
    </row>
    <row r="904" spans="11:11" ht="15.75" customHeight="1">
      <c r="K904" s="6"/>
    </row>
    <row r="905" spans="11:11" ht="15.75" customHeight="1">
      <c r="K905" s="6"/>
    </row>
    <row r="906" spans="11:11" ht="15.75" customHeight="1">
      <c r="K906" s="6"/>
    </row>
    <row r="907" spans="11:11" ht="15.75" customHeight="1">
      <c r="K907" s="6"/>
    </row>
    <row r="908" spans="11:11" ht="15.75" customHeight="1">
      <c r="K908" s="6"/>
    </row>
    <row r="909" spans="11:11" ht="15.75" customHeight="1">
      <c r="K909" s="6"/>
    </row>
    <row r="910" spans="11:11" ht="15.75" customHeight="1">
      <c r="K910" s="6"/>
    </row>
    <row r="911" spans="11:11" ht="15.75" customHeight="1">
      <c r="K911" s="6"/>
    </row>
    <row r="912" spans="11:11" ht="15.75" customHeight="1">
      <c r="K912" s="6"/>
    </row>
    <row r="913" spans="11:11" ht="15.75" customHeight="1">
      <c r="K913" s="6"/>
    </row>
    <row r="914" spans="11:11" ht="15.75" customHeight="1">
      <c r="K914" s="6"/>
    </row>
    <row r="915" spans="11:11" ht="15.75" customHeight="1">
      <c r="K915" s="6"/>
    </row>
    <row r="916" spans="11:11" ht="15.75" customHeight="1">
      <c r="K916" s="6"/>
    </row>
    <row r="917" spans="11:11" ht="15.75" customHeight="1">
      <c r="K917" s="6"/>
    </row>
    <row r="918" spans="11:11" ht="15.75" customHeight="1">
      <c r="K918" s="6"/>
    </row>
    <row r="919" spans="11:11" ht="15.75" customHeight="1">
      <c r="K919" s="6"/>
    </row>
    <row r="920" spans="11:11" ht="15.75" customHeight="1">
      <c r="K920" s="6"/>
    </row>
    <row r="921" spans="11:11" ht="15.75" customHeight="1">
      <c r="K921" s="6"/>
    </row>
    <row r="922" spans="11:11" ht="15.75" customHeight="1">
      <c r="K922" s="6"/>
    </row>
    <row r="923" spans="11:11" ht="15.75" customHeight="1">
      <c r="K923" s="6"/>
    </row>
    <row r="924" spans="11:11" ht="15.75" customHeight="1">
      <c r="K924" s="6"/>
    </row>
    <row r="925" spans="11:11" ht="15.75" customHeight="1">
      <c r="K925" s="6"/>
    </row>
    <row r="926" spans="11:11" ht="15.75" customHeight="1">
      <c r="K926" s="6"/>
    </row>
    <row r="927" spans="11:11" ht="15.75" customHeight="1">
      <c r="K927" s="6"/>
    </row>
    <row r="928" spans="11:11" ht="15.75" customHeight="1">
      <c r="K928" s="6"/>
    </row>
    <row r="929" spans="11:11" ht="15.75" customHeight="1">
      <c r="K929" s="6"/>
    </row>
    <row r="930" spans="11:11" ht="15.75" customHeight="1">
      <c r="K930" s="6"/>
    </row>
    <row r="931" spans="11:11" ht="15.75" customHeight="1">
      <c r="K931" s="6"/>
    </row>
    <row r="932" spans="11:11" ht="15.75" customHeight="1">
      <c r="K932" s="6"/>
    </row>
    <row r="933" spans="11:11" ht="15.75" customHeight="1">
      <c r="K933" s="6"/>
    </row>
    <row r="934" spans="11:11" ht="15.75" customHeight="1">
      <c r="K934" s="6"/>
    </row>
    <row r="935" spans="11:11" ht="15.75" customHeight="1">
      <c r="K935" s="6"/>
    </row>
    <row r="936" spans="11:11" ht="15.75" customHeight="1">
      <c r="K936" s="6"/>
    </row>
    <row r="937" spans="11:11" ht="15.75" customHeight="1">
      <c r="K937" s="6"/>
    </row>
    <row r="938" spans="11:11" ht="15.75" customHeight="1">
      <c r="K938" s="6"/>
    </row>
    <row r="939" spans="11:11" ht="15.75" customHeight="1">
      <c r="K939" s="6"/>
    </row>
    <row r="940" spans="11:11" ht="15.75" customHeight="1">
      <c r="K940" s="6"/>
    </row>
    <row r="941" spans="11:11" ht="15.75" customHeight="1">
      <c r="K941" s="6"/>
    </row>
    <row r="942" spans="11:11" ht="15.75" customHeight="1">
      <c r="K942" s="6"/>
    </row>
    <row r="943" spans="11:11" ht="15.75" customHeight="1">
      <c r="K943" s="6"/>
    </row>
    <row r="944" spans="11:11" ht="15.75" customHeight="1">
      <c r="K944" s="6"/>
    </row>
    <row r="945" spans="11:11" ht="15.75" customHeight="1">
      <c r="K945" s="6"/>
    </row>
    <row r="946" spans="11:11" ht="15.75" customHeight="1">
      <c r="K946" s="6"/>
    </row>
    <row r="947" spans="11:11" ht="15.75" customHeight="1">
      <c r="K947" s="6"/>
    </row>
    <row r="948" spans="11:11" ht="15.75" customHeight="1">
      <c r="K948" s="6"/>
    </row>
    <row r="949" spans="11:11" ht="15.75" customHeight="1">
      <c r="K949" s="6"/>
    </row>
    <row r="950" spans="11:11" ht="15.75" customHeight="1">
      <c r="K950" s="6"/>
    </row>
    <row r="951" spans="11:11" ht="15.75" customHeight="1">
      <c r="K951" s="6"/>
    </row>
    <row r="952" spans="11:11" ht="15.75" customHeight="1">
      <c r="K952" s="6"/>
    </row>
    <row r="953" spans="11:11" ht="15.75" customHeight="1">
      <c r="K953" s="6"/>
    </row>
    <row r="954" spans="11:11" ht="15.75" customHeight="1">
      <c r="K954" s="6"/>
    </row>
    <row r="955" spans="11:11" ht="15.75" customHeight="1">
      <c r="K955" s="6"/>
    </row>
    <row r="956" spans="11:11" ht="15.75" customHeight="1">
      <c r="K956" s="6"/>
    </row>
    <row r="957" spans="11:11" ht="15.75" customHeight="1">
      <c r="K957" s="6"/>
    </row>
    <row r="958" spans="11:11" ht="15.75" customHeight="1">
      <c r="K958" s="6"/>
    </row>
    <row r="959" spans="11:11" ht="15.75" customHeight="1">
      <c r="K959" s="6"/>
    </row>
    <row r="960" spans="11:11" ht="15.75" customHeight="1">
      <c r="K960" s="6"/>
    </row>
    <row r="961" spans="11:11" ht="15.75" customHeight="1">
      <c r="K961" s="6"/>
    </row>
    <row r="962" spans="11:11" ht="15.75" customHeight="1">
      <c r="K962" s="6"/>
    </row>
    <row r="963" spans="11:11" ht="15.75" customHeight="1">
      <c r="K963" s="6"/>
    </row>
    <row r="964" spans="11:11" ht="15.75" customHeight="1">
      <c r="K964" s="6"/>
    </row>
    <row r="965" spans="11:11" ht="15.75" customHeight="1">
      <c r="K965" s="6"/>
    </row>
    <row r="966" spans="11:11" ht="15.75" customHeight="1">
      <c r="K966" s="6"/>
    </row>
    <row r="967" spans="11:11" ht="15.75" customHeight="1">
      <c r="K967" s="6"/>
    </row>
    <row r="968" spans="11:11" ht="15.75" customHeight="1">
      <c r="K968" s="6"/>
    </row>
    <row r="969" spans="11:11" ht="15.75" customHeight="1">
      <c r="K969" s="6"/>
    </row>
    <row r="970" spans="11:11" ht="15.75" customHeight="1">
      <c r="K970" s="6"/>
    </row>
    <row r="971" spans="11:11" ht="15.75" customHeight="1">
      <c r="K971" s="6"/>
    </row>
    <row r="972" spans="11:11" ht="15.75" customHeight="1">
      <c r="K972" s="6"/>
    </row>
    <row r="973" spans="11:11" ht="15.75" customHeight="1">
      <c r="K973" s="6"/>
    </row>
    <row r="974" spans="11:11" ht="15.75" customHeight="1">
      <c r="K974" s="6"/>
    </row>
    <row r="975" spans="11:11" ht="15.75" customHeight="1">
      <c r="K975" s="6"/>
    </row>
    <row r="976" spans="11:11" ht="15.75" customHeight="1">
      <c r="K976" s="6"/>
    </row>
    <row r="977" spans="11:11" ht="15.75" customHeight="1">
      <c r="K977" s="6"/>
    </row>
    <row r="978" spans="11:11" ht="15.75" customHeight="1">
      <c r="K978" s="6"/>
    </row>
    <row r="979" spans="11:11" ht="15.75" customHeight="1">
      <c r="K979" s="6"/>
    </row>
    <row r="980" spans="11:11" ht="15.75" customHeight="1">
      <c r="K980" s="6"/>
    </row>
    <row r="981" spans="11:11" ht="15.75" customHeight="1">
      <c r="K981" s="6"/>
    </row>
    <row r="982" spans="11:11" ht="15.75" customHeight="1">
      <c r="K982" s="6"/>
    </row>
    <row r="983" spans="11:11" ht="15.75" customHeight="1">
      <c r="K983" s="6"/>
    </row>
    <row r="984" spans="11:11" ht="15.75" customHeight="1">
      <c r="K984" s="6"/>
    </row>
    <row r="985" spans="11:11" ht="15.75" customHeight="1">
      <c r="K985" s="6"/>
    </row>
    <row r="986" spans="11:11" ht="15.75" customHeight="1">
      <c r="K986" s="6"/>
    </row>
    <row r="987" spans="11:11" ht="15.75" customHeight="1">
      <c r="K987" s="6"/>
    </row>
    <row r="988" spans="11:11" ht="15.75" customHeight="1">
      <c r="K988" s="6"/>
    </row>
    <row r="989" spans="11:11" ht="15.75" customHeight="1">
      <c r="K989" s="6"/>
    </row>
    <row r="990" spans="11:11" ht="15.75" customHeight="1">
      <c r="K990" s="6"/>
    </row>
    <row r="991" spans="11:11" ht="15.75" customHeight="1">
      <c r="K991" s="6"/>
    </row>
    <row r="992" spans="11:11" ht="15.75" customHeight="1">
      <c r="K992" s="6"/>
    </row>
    <row r="993" spans="11:11" ht="15.75" customHeight="1">
      <c r="K993" s="6"/>
    </row>
    <row r="994" spans="11:11" ht="15.75" customHeight="1">
      <c r="K994" s="6"/>
    </row>
    <row r="995" spans="11:11" ht="15.75" customHeight="1">
      <c r="K995" s="6"/>
    </row>
    <row r="996" spans="11:11" ht="15.75" customHeight="1">
      <c r="K996" s="6"/>
    </row>
    <row r="997" spans="11:11" ht="15.75" customHeight="1">
      <c r="K997" s="6"/>
    </row>
    <row r="998" spans="11:11" ht="15.75" customHeight="1">
      <c r="K998" s="6"/>
    </row>
    <row r="999" spans="11:11" ht="15.75" customHeight="1">
      <c r="K999" s="6"/>
    </row>
    <row r="1000" spans="11:11" ht="15.75" customHeight="1">
      <c r="K1000" s="6"/>
    </row>
  </sheetData>
  <pageMargins left="0.7" right="0.7" top="0.75" bottom="0.75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week1</vt:lpstr>
      <vt:lpstr>week2</vt:lpstr>
      <vt:lpstr>week2-2</vt:lpstr>
      <vt:lpstr>week3</vt:lpstr>
      <vt:lpstr>week3-2</vt:lpstr>
      <vt:lpstr>week4reox</vt:lpstr>
      <vt:lpstr>dioxane analysis</vt:lpstr>
      <vt:lpstr>week5reox</vt:lpstr>
      <vt:lpstr>week6CBD</vt:lpstr>
      <vt:lpstr>week6reox</vt:lpstr>
      <vt:lpstr>week7reox</vt:lpstr>
      <vt:lpstr>week8reox ph5&amp;8</vt:lpstr>
      <vt:lpstr>week8reox ph7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Mounir Ayadi</dc:creator>
  <cp:lastModifiedBy>Mounir Ayadi</cp:lastModifiedBy>
  <dcterms:created xsi:type="dcterms:W3CDTF">2015-06-05T18:17:20Z</dcterms:created>
  <dcterms:modified xsi:type="dcterms:W3CDTF">2025-08-27T11:52:55Z</dcterms:modified>
</cp:coreProperties>
</file>