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xr:revisionPtr revIDLastSave="0" documentId="8_{348055DE-BDDA-4FBE-B011-6441B6608134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Rayox Exp UV-ALONE pH 5" sheetId="21" r:id="rId1"/>
    <sheet name="Rayox Exp 12.6mgL Cl pH 5" sheetId="19" r:id="rId2"/>
    <sheet name="Rayox Exp 9.6mgL Cl2 pH 5" sheetId="18" r:id="rId3"/>
    <sheet name="Rayox Exp 6mgL Cl2  pH 5" sheetId="17" r:id="rId4"/>
    <sheet name="Rayox Exp 5mgL Cl2 pH 5" sheetId="16" r:id="rId5"/>
    <sheet name="Rayox Exp 2mgL Cl2 pH 5" sheetId="1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9" l="1"/>
  <c r="H23" i="19"/>
  <c r="H22" i="19"/>
  <c r="H21" i="19"/>
  <c r="H20" i="19"/>
  <c r="H19" i="19"/>
  <c r="G24" i="19"/>
  <c r="G23" i="19"/>
  <c r="G22" i="19"/>
  <c r="G21" i="19"/>
  <c r="G20" i="19"/>
  <c r="G19" i="19"/>
  <c r="H23" i="18"/>
  <c r="H22" i="18"/>
  <c r="H21" i="18"/>
  <c r="H20" i="18"/>
  <c r="H19" i="18"/>
  <c r="G23" i="18"/>
  <c r="G22" i="18"/>
  <c r="G21" i="18"/>
  <c r="G20" i="18"/>
  <c r="G19" i="18"/>
  <c r="H23" i="17"/>
  <c r="H22" i="17"/>
  <c r="H21" i="17"/>
  <c r="H20" i="17"/>
  <c r="H19" i="17"/>
  <c r="G23" i="17"/>
  <c r="G22" i="17"/>
  <c r="G21" i="17"/>
  <c r="G20" i="17"/>
  <c r="G19" i="17"/>
  <c r="H23" i="16"/>
  <c r="H22" i="16"/>
  <c r="H21" i="16"/>
  <c r="H20" i="16"/>
  <c r="H19" i="16"/>
  <c r="G23" i="16"/>
  <c r="G22" i="16"/>
  <c r="G21" i="16"/>
  <c r="G20" i="16"/>
  <c r="G19" i="16"/>
</calcChain>
</file>

<file path=xl/sharedStrings.xml><?xml version="1.0" encoding="utf-8"?>
<sst xmlns="http://schemas.openxmlformats.org/spreadsheetml/2006/main" count="298" uniqueCount="77">
  <si>
    <t>Run 6</t>
  </si>
  <si>
    <t>Solutions/Chemiclas/glassware used</t>
  </si>
  <si>
    <t>Receipt</t>
  </si>
  <si>
    <t>Results</t>
  </si>
  <si>
    <t>Phosphate buffer (approximatelly 2 mM for KH2PO4 and  0.04mM for K2PO4)</t>
  </si>
  <si>
    <r>
      <rPr>
        <sz val="9"/>
        <color rgb="FF000000"/>
        <rFont val="Arial"/>
      </rPr>
      <t xml:space="preserve">1.33g KH2PO4 and 0.034g K2HPO4 dissolved to </t>
    </r>
    <r>
      <rPr>
        <b/>
        <sz val="9"/>
        <color rgb="FF000000"/>
        <rFont val="Arial"/>
      </rPr>
      <t>5 L</t>
    </r>
    <r>
      <rPr>
        <sz val="9"/>
        <color rgb="FF000000"/>
        <rFont val="Arial"/>
      </rPr>
      <t xml:space="preserve"> "NDMA-MQ" water (HANDERSON-HASSELBACH)</t>
    </r>
  </si>
  <si>
    <t>pH 5.57</t>
  </si>
  <si>
    <t xml:space="preserve">0.82gN/L ammonia standard - Fisher Scientifique </t>
  </si>
  <si>
    <t>Concentration was confirmed by preparing a 1 mgN/L solution. This solution was diluted 2x prior to analysis on HACH machine, the same  MQ water was used for dilution. Method: Salicylate Method (8155) --&gt; 0.01 to 0.50 mg/L NH3–N</t>
  </si>
  <si>
    <t>0.98 mgN/L</t>
  </si>
  <si>
    <t>Probe contaminants (100 ug/L)</t>
  </si>
  <si>
    <t>1,4-dioxane 1g/L (prepared by Gabi), Sucralose 1g/L (prepared by Mounir), Caffeine 1.162 g/L (prepared by Zhijie)</t>
  </si>
  <si>
    <t>Order in which substances were spiked into the reactor --&gt; Ammonia, probe contaminants and then Sodium hypo</t>
  </si>
  <si>
    <t>2.5 g/L thioacetamide for free chlorine analysis</t>
  </si>
  <si>
    <t>Thioacetamide was not added as requested by Ron</t>
  </si>
  <si>
    <t>Chlorine conc spiked (mg/L)</t>
  </si>
  <si>
    <t>Volume of  9.3 g/L sodium hypo  added</t>
  </si>
  <si>
    <t>Volume of 0.82 gN/L ammonia std added</t>
  </si>
  <si>
    <t>Probe contaminants (final 100 ug/L)</t>
  </si>
  <si>
    <t>UV exposure time (sec)</t>
  </si>
  <si>
    <t>Dilution</t>
  </si>
  <si>
    <t>Free chlorine (mg/L)</t>
  </si>
  <si>
    <t>Total Chlorine (mg/L)</t>
  </si>
  <si>
    <t>pH</t>
  </si>
  <si>
    <t>1,4-Dioxane (ug/L)</t>
  </si>
  <si>
    <t>Sucralose (ug/L)</t>
  </si>
  <si>
    <t>Caffeine (ug/L)</t>
  </si>
  <si>
    <t>6 mL</t>
  </si>
  <si>
    <t>500 uL (1,4-dioxane &amp; Sucralose), 430 uL Caffeine</t>
  </si>
  <si>
    <t>0 (Analysis taken 1 minute after probe contaminats were spiked – mixer was on)</t>
  </si>
  <si>
    <t>not diluted</t>
  </si>
  <si>
    <t>Run 5</t>
  </si>
  <si>
    <t>pH 5.46</t>
  </si>
  <si>
    <t xml:space="preserve">10 g/L sodium hypochlorite </t>
  </si>
  <si>
    <t>A 10 g/L stock solution was prepared by diluting a new commercial solution (10–15% available Cl₂) in HPLC-grade water. From this, a 2 mg/L solution was prepared, and its concentration was confirmed using a HACH machine</t>
  </si>
  <si>
    <t xml:space="preserve">C(Cl2) 9.3  g/L </t>
  </si>
  <si>
    <t xml:space="preserve">Free Chlorine analysis </t>
  </si>
  <si>
    <t>Method: 8021, 0.02 to 2.00 mg/L Cl2</t>
  </si>
  <si>
    <t>DPD powders expiry date - Feb 2030</t>
  </si>
  <si>
    <t xml:space="preserve">Total Chlorine analysis </t>
  </si>
  <si>
    <t>Method: 8167, 0.02 to 2.00 mg/L Cl2</t>
  </si>
  <si>
    <t>Becker contaning the water for dilution</t>
  </si>
  <si>
    <t>Chlorine demand free</t>
  </si>
  <si>
    <t>NDMA- MQ was used</t>
  </si>
  <si>
    <t>MDL is 1.07 ug/L</t>
  </si>
  <si>
    <t>MDL is 3.34 ug/L</t>
  </si>
  <si>
    <t>6.77 mL</t>
  </si>
  <si>
    <t>0 (Analysis taken 1 minute after Cl2 addition – mixer was on)</t>
  </si>
  <si>
    <t>0 (Analysis taken after 20 min of reaction - mixer was off)</t>
  </si>
  <si>
    <t>&lt;MDL</t>
  </si>
  <si>
    <t>nd</t>
  </si>
  <si>
    <t>Run 4</t>
  </si>
  <si>
    <t>pH 5.47</t>
  </si>
  <si>
    <t>Test performed in parallel:</t>
  </si>
  <si>
    <t>Testing 9.3g/L sodium hypo solution --&gt; 5.16 mL of 9.3 g/L sodium hypo was spiked to 5L buffer pH 7.5 to get 9.6 mg/L as final concentration, then mixed for 1 min and free chlorine was measured --&gt; 1.93 mg/L (df 5x) --&gt; 9.65 mg/L</t>
  </si>
  <si>
    <t>5.16 mL</t>
  </si>
  <si>
    <t>Run 3</t>
  </si>
  <si>
    <t>pH 5.43</t>
  </si>
  <si>
    <t>3.23 mL</t>
  </si>
  <si>
    <t>not detected</t>
  </si>
  <si>
    <t>Run 2</t>
  </si>
  <si>
    <t>MDL is 0.13 ug/L</t>
  </si>
  <si>
    <t>2.69 mL</t>
  </si>
  <si>
    <t>Run 1</t>
  </si>
  <si>
    <t>pH 5.52</t>
  </si>
  <si>
    <t xml:space="preserve">1.1344 g/L sodium hypochlorite </t>
  </si>
  <si>
    <t xml:space="preserve">Diluted from NEW Commercial solution (10 - 15% available cl2) in HPLC grade water, then, 1g/L solution was titrated - Iodometry method </t>
  </si>
  <si>
    <t xml:space="preserve">C(Cl2) 1.1344  g/L </t>
  </si>
  <si>
    <t xml:space="preserve">échantillon </t>
  </si>
  <si>
    <t>completer à 100ml EUP</t>
  </si>
  <si>
    <t>1g KI</t>
  </si>
  <si>
    <t>5ml Acide Acétique</t>
  </si>
  <si>
    <t>dosage par 0,1M Thiosulfate de sodium</t>
  </si>
  <si>
    <t>Color indicator 10g/L starch (potato)</t>
  </si>
  <si>
    <t>n/a</t>
  </si>
  <si>
    <t>Volume of  1.1344 g/L sodium hypo  added</t>
  </si>
  <si>
    <t>8.82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</si>
</sst>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rgb="FF333333"/>
      <name val="Arial"/>
    </font>
    <font>
      <sz val="9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333333"/>
      <name val="Arial"/>
    </font>
    <font>
      <sz val="9"/>
      <color rgb="FF000000"/>
      <name val="Arial"/>
    </font>
    <font>
      <b/>
      <sz val="9"/>
      <color rgb="FF000000"/>
      <name val="Arial"/>
    </font>
    <font>
      <sz val="11"/>
      <color rgb="FFFF0000"/>
      <name val="Aptos Narrow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8" fillId="0" borderId="3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0" fontId="0" fillId="0" borderId="16" xfId="0" applyBorder="1" applyAlignment="1">
      <alignment wrapText="1"/>
    </xf>
    <xf numFmtId="2" fontId="2" fillId="2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1" xfId="0" applyBorder="1"/>
    <xf numFmtId="0" fontId="12" fillId="0" borderId="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2" borderId="14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2" fontId="2" fillId="2" borderId="17" xfId="0" applyNumberFormat="1" applyFont="1" applyFill="1" applyBorder="1" applyAlignment="1">
      <alignment horizontal="center" vertical="center"/>
    </xf>
    <xf numFmtId="2" fontId="2" fillId="2" borderId="14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/>
    </xf>
    <xf numFmtId="1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0" fillId="0" borderId="16" xfId="0" applyBorder="1" applyAlignment="1">
      <alignment wrapText="1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126">
    <dxf>
      <numFmt numFmtId="2" formatCode="0.00"/>
      <alignment horizontal="center" vertical="center"/>
    </dxf>
    <dxf>
      <numFmt numFmtId="2" formatCode="0.00"/>
      <alignment horizontal="center" vertical="center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center"/>
    </dxf>
    <dxf>
      <font>
        <sz val="10"/>
      </font>
      <alignment horizontal="center" vertical="center"/>
      <border>
        <left style="thin">
          <color rgb="FF000000"/>
        </left>
        <right/>
        <top/>
        <bottom/>
        <vertical/>
        <horizontal/>
      </border>
    </dxf>
    <dxf>
      <border outline="0">
        <bottom style="thin">
          <color theme="4" tint="0.39997558519241921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1" indent="0" justifyLastLine="0" shrinkToFit="0" readingOrder="0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/>
    </dxf>
    <dxf>
      <numFmt numFmtId="2" formatCode="0.00"/>
      <alignment horizontal="center" vertical="center"/>
    </dxf>
    <dxf>
      <alignment horizontal="center" vertical="center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center"/>
    </dxf>
    <dxf>
      <font>
        <sz val="10"/>
      </font>
      <alignment horizontal="center" vertical="center"/>
      <border>
        <left style="thin">
          <color rgb="FF000000"/>
        </left>
        <right/>
        <top/>
        <bottom/>
        <vertical/>
        <horizontal/>
      </border>
    </dxf>
    <dxf>
      <border outline="0">
        <bottom style="thin">
          <color theme="4" tint="0.39997558519241921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1" indent="0" justifyLastLine="0" shrinkToFit="0" readingOrder="0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center"/>
    </dxf>
    <dxf>
      <font>
        <sz val="10"/>
      </font>
      <alignment horizontal="center" vertical="center"/>
      <border>
        <left style="thin">
          <color rgb="FF000000"/>
        </left>
        <right/>
        <top/>
        <bottom/>
        <vertical/>
        <horizontal/>
      </border>
    </dxf>
    <dxf>
      <border outline="0">
        <bottom style="thin">
          <color theme="4" tint="0.39997558519241921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1" indent="0" justifyLastLine="0" shrinkToFit="0" readingOrder="0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center"/>
    </dxf>
    <dxf>
      <font>
        <sz val="10"/>
      </font>
      <alignment horizontal="center" vertical="center"/>
      <border>
        <left style="thin">
          <color rgb="FF000000"/>
        </left>
        <right/>
        <top/>
        <bottom/>
        <vertical/>
        <horizontal/>
      </border>
    </dxf>
    <dxf>
      <border outline="0">
        <bottom style="thin">
          <color theme="4" tint="0.39997558519241921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1" indent="0" justifyLastLine="0" shrinkToFit="0" readingOrder="0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font>
        <b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center"/>
    </dxf>
    <dxf>
      <font>
        <sz val="10"/>
      </font>
      <alignment horizontal="center" vertical="center"/>
      <border>
        <left style="thin">
          <color rgb="FF000000"/>
        </left>
        <right/>
        <top/>
        <bottom/>
        <vertical/>
        <horizontal/>
      </border>
    </dxf>
    <dxf>
      <border outline="0">
        <bottom style="thin">
          <color theme="4" tint="0.39997558519241921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1" indent="0" justifyLastLine="0" shrinkToFit="0" readingOrder="0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center"/>
    </dxf>
    <dxf>
      <font>
        <sz val="10"/>
      </font>
      <alignment horizontal="center" vertical="center"/>
      <border>
        <left style="thin">
          <color rgb="FF000000"/>
        </left>
        <right/>
        <top/>
        <bottom/>
        <vertical/>
        <horizontal/>
      </border>
    </dxf>
    <dxf>
      <border outline="0">
        <bottom style="thin">
          <color theme="4" tint="0.39997558519241921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1" indent="0" justifyLastLine="0" shrinkToFit="0" readingOrder="0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</dxf>
    <dxf>
      <fill>
        <patternFill patternType="solid">
          <fgColor indexed="64"/>
          <bgColor theme="3" tint="0.499984740745262"/>
        </patternFill>
      </fill>
      <alignment horizontal="center"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78C5FC7-AEA2-46E4-B8F4-3CA88EFE997F}" name="Table32101418222630" displayName="Table32101418222630" ref="A8:A15" totalsRowShown="0" headerRowDxfId="125" dataDxfId="124">
  <autoFilter ref="A8:A15" xr:uid="{66C4F272-FA3A-4351-812C-8FADF474D6C5}"/>
  <tableColumns count="1">
    <tableColumn id="1" xr3:uid="{7B03A0F9-1538-4B9E-8B0D-6C1D86BF55E7}" name="Chlorine conc spiked (mg/L)" dataDxfId="1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F06838C-5C8D-41EE-A4BF-35ADDD849F6F}" name="Table353111519232731" displayName="Table353111519232731" ref="B8:B13" totalsRowShown="0" headerRowDxfId="122" dataDxfId="121">
  <autoFilter ref="B8:B13" xr:uid="{EB0FFA65-82ED-4D03-B3A3-F9000DF46C8A}"/>
  <tableColumns count="1">
    <tableColumn id="1" xr3:uid="{0B8BC958-796C-4FD0-A3D2-90437AE03880}" name="Volume of  9.3 g/L sodium hypo  added" dataDxfId="1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B07B612-3DF6-4DBE-B118-0FE2548B0F2E}" name="Table368121620242832" displayName="Table368121620242832" ref="C8:C13" totalsRowShown="0" headerRowDxfId="119" dataDxfId="118">
  <autoFilter ref="C8:C13" xr:uid="{05E46715-7D88-4732-B0EB-9DF82C108AF8}"/>
  <tableColumns count="1">
    <tableColumn id="1" xr3:uid="{119483A4-6C0F-45AC-99A7-FB5FF4346F0A}" name="Volume of 0.82 gN/L ammonia std added" dataDxfId="1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A14C928-D900-44A2-AD35-3DF675A72C08}" name="Table379131721252933" displayName="Table379131721252933" ref="D8:L17" totalsRowShown="0" headerRowDxfId="116" dataDxfId="115" headerRowBorderDxfId="114">
  <autoFilter ref="D8:L17" xr:uid="{E1D29424-66FB-4998-8FFA-55C2201E2ED5}"/>
  <tableColumns count="9">
    <tableColumn id="1" xr3:uid="{80326760-2E6A-41DC-A902-CAD8DB897320}" name="Probe contaminants (final 100 ug/L)" dataDxfId="113"/>
    <tableColumn id="4" xr3:uid="{EC7478DC-2586-481F-92BC-1FE041C5D7CC}" name="UV exposure time (sec)" dataDxfId="112"/>
    <tableColumn id="5" xr3:uid="{9C7C6328-0F21-46A7-ADDC-E087561A2C32}" name="Dilution" dataDxfId="111"/>
    <tableColumn id="6" xr3:uid="{FD4C4D26-20D1-46B9-9CB0-C0DBBFFF53D7}" name="Free chlorine (mg/L)" dataDxfId="110">
      <calculatedColumnFormula>0.05*Table379131721252933[[#This Row],[Dilution]]</calculatedColumnFormula>
    </tableColumn>
    <tableColumn id="2" xr3:uid="{9F268439-9523-48BE-8C0F-6BFCCE5A54C8}" name="Total Chlorine (mg/L)" dataDxfId="109">
      <calculatedColumnFormula>1.01*Table379131721252933[[#This Row],[Dilution]]</calculatedColumnFormula>
    </tableColumn>
    <tableColumn id="9" xr3:uid="{BE85923A-7A1D-417A-AEDE-015D32CF43B8}" name="pH" dataDxfId="108"/>
    <tableColumn id="3" xr3:uid="{5C299C9A-9EEC-46F8-866D-A4A953E398EC}" name="1,4-Dioxane (ug/L)" dataDxfId="107"/>
    <tableColumn id="7" xr3:uid="{A0A6D793-95AA-4CDF-AE3F-46A7802240CE}" name="Sucralose (ug/L)" dataDxfId="106"/>
    <tableColumn id="8" xr3:uid="{5361603C-77BF-4CAB-8FB9-ECA76AF00C2E}" name="Caffeine (ug/L)" dataDxfId="10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7FA94AE-4D7C-4506-A7A4-1A43CA274992}" name="Table321014182226" displayName="Table321014182226" ref="A18:A25" totalsRowShown="0" headerRowDxfId="104" dataDxfId="103">
  <autoFilter ref="A18:A25" xr:uid="{66C4F272-FA3A-4351-812C-8FADF474D6C5}"/>
  <tableColumns count="1">
    <tableColumn id="1" xr3:uid="{B250B1BB-92A2-4632-8E4A-67727303E54A}" name="Chlorine conc spiked (mg/L)" dataDxfId="10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B7C04C3-86FE-44A8-AEE2-8BE12300406A}" name="Table3531115192327" displayName="Table3531115192327" ref="B18:B23" totalsRowShown="0" headerRowDxfId="101" dataDxfId="100">
  <autoFilter ref="B18:B23" xr:uid="{EB0FFA65-82ED-4D03-B3A3-F9000DF46C8A}"/>
  <tableColumns count="1">
    <tableColumn id="1" xr3:uid="{0D0AF289-7661-4613-B021-111D3023CDF8}" name="Volume of  9.3 g/L sodium hypo  added" dataDxfId="9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22033B3-417A-4BF2-8EF4-D90385373A0C}" name="Table3681216202428" displayName="Table3681216202428" ref="C18:C23" totalsRowShown="0" headerRowDxfId="98" dataDxfId="97">
  <autoFilter ref="C18:C23" xr:uid="{05E46715-7D88-4732-B0EB-9DF82C108AF8}"/>
  <tableColumns count="1">
    <tableColumn id="1" xr3:uid="{0E0CD2F0-7514-4FF6-94B8-6CE4D383A3B2}" name="Volume of 0.82 gN/L ammonia std added" dataDxfId="9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AA104C3-0CAD-40AF-A530-E0BB82222FB8}" name="Table3791317212529" displayName="Table3791317212529" ref="D18:L26" totalsRowShown="0" headerRowDxfId="95" dataDxfId="94" headerRowBorderDxfId="93">
  <autoFilter ref="D18:L26" xr:uid="{E1D29424-66FB-4998-8FFA-55C2201E2ED5}"/>
  <tableColumns count="9">
    <tableColumn id="1" xr3:uid="{88DDAF94-E50A-4970-B833-6F48F288F77A}" name="Probe contaminants (final 100 ug/L)" dataDxfId="92"/>
    <tableColumn id="4" xr3:uid="{DAE1B769-FD38-4EB9-BD41-A2B944BBDAFB}" name="UV exposure time (sec)" dataDxfId="91"/>
    <tableColumn id="5" xr3:uid="{B6D2E6D4-ABA8-4F41-AFFF-EB41FCBE0394}" name="Dilution" dataDxfId="90"/>
    <tableColumn id="6" xr3:uid="{11FC8B59-0DA3-44F7-B3EB-3FC61CE04C7E}" name="Free chlorine (mg/L)" dataDxfId="89">
      <calculatedColumnFormula>0.53*8</calculatedColumnFormula>
    </tableColumn>
    <tableColumn id="2" xr3:uid="{42A88905-01AC-4872-A03E-9E53C492CE02}" name="Total Chlorine (mg/L)" dataDxfId="88">
      <calculatedColumnFormula>1.11*8</calculatedColumnFormula>
    </tableColumn>
    <tableColumn id="9" xr3:uid="{220635CD-0EE4-4F3C-8F90-A11DF8635F9D}" name="pH" dataDxfId="87"/>
    <tableColumn id="3" xr3:uid="{78D3C231-99EA-40DB-A2E4-B5EE51B15A90}" name="1,4-Dioxane (ug/L)" dataDxfId="86"/>
    <tableColumn id="7" xr3:uid="{65D115C2-C44E-4CBF-927E-6F58FCC4BF4F}" name="Sucralose (ug/L)" dataDxfId="85"/>
    <tableColumn id="8" xr3:uid="{52513104-148F-41B9-B2EF-CC6A55D74541}" name="Caffeine (ug/L)" dataDxfId="8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0C1981D-6ECB-4BB0-8FCA-6821B8830740}" name="Table3210141822" displayName="Table3210141822" ref="A18:A25" totalsRowShown="0" headerRowDxfId="83" dataDxfId="82">
  <autoFilter ref="A18:A25" xr:uid="{66C4F272-FA3A-4351-812C-8FADF474D6C5}"/>
  <tableColumns count="1">
    <tableColumn id="1" xr3:uid="{86CF8230-1E85-4EDE-A063-A34E3191D420}" name="Chlorine conc spiked (mg/L)" dataDxfId="8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DEA3775-E14F-466D-9C0D-F21EBCB51607}" name="Table35311151923" displayName="Table35311151923" ref="B18:B23" totalsRowShown="0" headerRowDxfId="80" dataDxfId="79">
  <autoFilter ref="B18:B23" xr:uid="{EB0FFA65-82ED-4D03-B3A3-F9000DF46C8A}"/>
  <tableColumns count="1">
    <tableColumn id="1" xr3:uid="{99A1FBE8-F925-4A5A-AA24-BEF9A79DDBF1}" name="Volume of  9.3 g/L sodium hypo  added" dataDxfId="7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654EC4B-6FF2-4994-B32C-4F8FB206DD27}" name="Table36812162024" displayName="Table36812162024" ref="C18:C23" totalsRowShown="0" headerRowDxfId="77" dataDxfId="76">
  <autoFilter ref="C18:C23" xr:uid="{05E46715-7D88-4732-B0EB-9DF82C108AF8}"/>
  <tableColumns count="1">
    <tableColumn id="1" xr3:uid="{3E52BF70-C676-426B-9AC0-1C57D25E5436}" name="Volume of 0.82 gN/L ammonia std added" dataDxfId="7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C560104-8EDB-41ED-9CA2-245E1462B68D}" name="Table37913172125" displayName="Table37913172125" ref="D18:L26" totalsRowShown="0" headerRowDxfId="74" dataDxfId="73" headerRowBorderDxfId="72">
  <autoFilter ref="D18:L26" xr:uid="{E1D29424-66FB-4998-8FFA-55C2201E2ED5}"/>
  <tableColumns count="9">
    <tableColumn id="1" xr3:uid="{14902D6D-D280-408F-A28A-D33A789BB2F8}" name="Probe contaminants (final 100 ug/L)" dataDxfId="71"/>
    <tableColumn id="4" xr3:uid="{14F98250-D015-4B6B-B0EC-3FB891D69227}" name="UV exposure time (sec)" dataDxfId="70"/>
    <tableColumn id="5" xr3:uid="{45D9FDF7-D62E-44E7-A570-F961D21BBF33}" name="Dilution" dataDxfId="69"/>
    <tableColumn id="6" xr3:uid="{E8B4EBED-3A2E-454D-919B-10A0560FC2D7}" name="Free chlorine (mg/L)" dataDxfId="68">
      <calculatedColumnFormula>0.51*5</calculatedColumnFormula>
    </tableColumn>
    <tableColumn id="2" xr3:uid="{B3BFF545-AC02-4A8A-AE9E-571BBA3E75C0}" name="Total Chlorine (mg/L)" dataDxfId="67">
      <calculatedColumnFormula>1.69*5</calculatedColumnFormula>
    </tableColumn>
    <tableColumn id="9" xr3:uid="{A734B8DE-1769-4E6E-8017-DFDFFBF9A6F7}" name="pH" dataDxfId="66"/>
    <tableColumn id="3" xr3:uid="{C15A46A4-FFA8-4019-8D9F-756F49A2AF16}" name="1,4-Dioxane (ug/L)" dataDxfId="65"/>
    <tableColumn id="7" xr3:uid="{DAEB3409-42A2-4A1D-AAB9-A9D492D9CDB8}" name="Sucralose (ug/L)" dataDxfId="64"/>
    <tableColumn id="8" xr3:uid="{A9DB953B-E480-43C2-91F4-72039E957CC7}" name="Caffeine (ug/L)" dataDxfId="6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C08EBD9-C0E1-4213-AEDC-5DDEC3B2664C}" name="Table32101418" displayName="Table32101418" ref="A18:A26" totalsRowShown="0" headerRowDxfId="62" dataDxfId="61">
  <autoFilter ref="A18:A26" xr:uid="{66C4F272-FA3A-4351-812C-8FADF474D6C5}"/>
  <tableColumns count="1">
    <tableColumn id="1" xr3:uid="{B3F1C626-46DE-4FB4-94D7-6D2E95CCC0C6}" name="Chlorine conc spiked (mg/L)" dataDxfId="6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265976A-5F24-42F0-A27F-E4B89D86A812}" name="Table353111519" displayName="Table353111519" ref="B18:B23" totalsRowShown="0" headerRowDxfId="59" dataDxfId="58">
  <autoFilter ref="B18:B23" xr:uid="{EB0FFA65-82ED-4D03-B3A3-F9000DF46C8A}"/>
  <tableColumns count="1">
    <tableColumn id="1" xr3:uid="{CDC85F63-C4AD-4DBD-B4AC-112F2C087E79}" name="Volume of  9.3 g/L sodium hypo  added" dataDxfId="5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21BDEED-B424-4DBB-A65F-B88DCD84300B}" name="Table368121620" displayName="Table368121620" ref="C18:C23" totalsRowShown="0" headerRowDxfId="56" dataDxfId="55">
  <autoFilter ref="C18:C23" xr:uid="{05E46715-7D88-4732-B0EB-9DF82C108AF8}"/>
  <tableColumns count="1">
    <tableColumn id="1" xr3:uid="{4D247BC7-59A6-4266-9C23-48A03AE89CAD}" name="Volume of 0.82 gN/L ammonia std added" dataDxfId="5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93257DF-6D01-4678-88B6-35A48FFFE735}" name="Table379131721" displayName="Table379131721" ref="D18:L26" totalsRowShown="0" headerRowDxfId="53" dataDxfId="52" headerRowBorderDxfId="51">
  <autoFilter ref="D18:L26" xr:uid="{E1D29424-66FB-4998-8FFA-55C2201E2ED5}"/>
  <tableColumns count="9">
    <tableColumn id="1" xr3:uid="{4EADEB59-60AF-4B83-881C-8F45AFE6B047}" name="Probe contaminants (final 100 ug/L)" dataDxfId="50"/>
    <tableColumn id="4" xr3:uid="{F009F329-02B8-4AAE-AFAD-D6660AF14AC9}" name="UV exposure time (sec)" dataDxfId="49"/>
    <tableColumn id="5" xr3:uid="{AAD5482E-1779-44E5-890F-4A8997E13DD1}" name="Dilution" dataDxfId="48"/>
    <tableColumn id="6" xr3:uid="{3636BA33-13B7-4F97-9CD4-6E4658543326}" name="Free chlorine (mg/L)" dataDxfId="47">
      <calculatedColumnFormula>0.05*Table379131721[[#This Row],[Dilution]]</calculatedColumnFormula>
    </tableColumn>
    <tableColumn id="2" xr3:uid="{1F1044E9-DAC2-47DC-AB0B-F896DC9C864E}" name="Total Chlorine (mg/L)" dataDxfId="46">
      <calculatedColumnFormula>1.01*Table379131721[[#This Row],[Dilution]]</calculatedColumnFormula>
    </tableColumn>
    <tableColumn id="9" xr3:uid="{574322BA-C93E-40B5-BE98-6A28767EB387}" name="pH" dataDxfId="45"/>
    <tableColumn id="3" xr3:uid="{807A2678-91E7-4B1A-BEA7-7C536067756B}" name="1,4-Dioxane (ug/L)" dataDxfId="44"/>
    <tableColumn id="7" xr3:uid="{3D93461F-AFD7-40BF-8BDC-BAF1697FB8FE}" name="Sucralose (ug/L)" dataDxfId="43"/>
    <tableColumn id="8" xr3:uid="{573AA75F-7A30-40C0-BA83-4171028EDD78}" name="Caffeine (ug/L)" dataDxfId="4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434817D-6C50-4CA0-BD04-F83DCFDF3DCF}" name="Table321014" displayName="Table321014" ref="A18:A26" totalsRowShown="0" headerRowDxfId="41" dataDxfId="40">
  <autoFilter ref="A18:A26" xr:uid="{66C4F272-FA3A-4351-812C-8FADF474D6C5}"/>
  <tableColumns count="1">
    <tableColumn id="1" xr3:uid="{E8710CA7-7D82-4227-A3A7-FA7100B367D5}" name="Chlorine conc spiked (mg/L)" dataDxfId="39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40FB768-D7C6-4C3D-8D5D-C37A1E9B8288}" name="Table3531115" displayName="Table3531115" ref="B18:B23" totalsRowShown="0" headerRowDxfId="38" dataDxfId="37">
  <autoFilter ref="B18:B23" xr:uid="{EB0FFA65-82ED-4D03-B3A3-F9000DF46C8A}"/>
  <tableColumns count="1">
    <tableColumn id="1" xr3:uid="{F0105061-D58E-4884-8583-BC0AB50C136B}" name="Volume of  9.3 g/L sodium hypo  added" dataDxfId="3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0EF1A9A-16FC-41CE-9B97-D7C91919B03B}" name="Table3681216" displayName="Table3681216" ref="C18:C23" totalsRowShown="0" headerRowDxfId="35" dataDxfId="34">
  <autoFilter ref="C18:C23" xr:uid="{05E46715-7D88-4732-B0EB-9DF82C108AF8}"/>
  <tableColumns count="1">
    <tableColumn id="1" xr3:uid="{6F4E23D8-F507-4800-BC1C-81318F907C2D}" name="Volume of 0.82 gN/L ammonia std added" dataDxfId="3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5F62643-85BC-4A78-BCC9-CE87C7BD3C82}" name="Table3791317" displayName="Table3791317" ref="D18:L25" totalsRowShown="0" headerRowDxfId="32" dataDxfId="31" headerRowBorderDxfId="30">
  <autoFilter ref="D18:L25" xr:uid="{E1D29424-66FB-4998-8FFA-55C2201E2ED5}"/>
  <tableColumns count="9">
    <tableColumn id="1" xr3:uid="{F634EA7E-B4B1-4D99-A9C7-AB9335023C91}" name="Probe contaminants (final 100 ug/L)" dataDxfId="29"/>
    <tableColumn id="4" xr3:uid="{0323C6ED-987B-4D55-8295-1E546C9C0A67}" name="UV exposure time (sec)" dataDxfId="28"/>
    <tableColumn id="5" xr3:uid="{0F31AB0B-4145-42E5-A268-56C2BCE75F7B}" name="Dilution" dataDxfId="27"/>
    <tableColumn id="6" xr3:uid="{D2442A91-4218-43A1-9CAE-BB1946EBFDA2}" name="Free chlorine (mg/L)" dataDxfId="26">
      <calculatedColumnFormula>(0.03*Table3791317[[#This Row],[Dilution]])</calculatedColumnFormula>
    </tableColumn>
    <tableColumn id="2" xr3:uid="{65EA0A07-3A5F-469D-A13C-AED9A4F7B647}" name="Total Chlorine (mg/L)" dataDxfId="25">
      <calculatedColumnFormula>(1.18*4)</calculatedColumnFormula>
    </tableColumn>
    <tableColumn id="9" xr3:uid="{28BE942E-AA2D-47BC-B794-542CF3B604CA}" name="pH" dataDxfId="24"/>
    <tableColumn id="3" xr3:uid="{F7217848-4552-4510-A89B-8EDEE529D4C5}" name="1,4-Dioxane (ug/L)" dataDxfId="23"/>
    <tableColumn id="7" xr3:uid="{19F945F7-8D86-49A1-BE8C-B5D7895FBD0D}" name="Sucralose (ug/L)" dataDxfId="22"/>
    <tableColumn id="8" xr3:uid="{D0D92831-DA28-433E-925C-7D30C511C645}" name="Caffeine (ug/L)" dataDxfId="21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C5C3EFE-14E0-482D-918D-6D19C5899BBD}" name="Table3210" displayName="Table3210" ref="A18:A25" totalsRowShown="0" headerRowDxfId="20" dataDxfId="19">
  <autoFilter ref="A18:A25" xr:uid="{66C4F272-FA3A-4351-812C-8FADF474D6C5}"/>
  <tableColumns count="1">
    <tableColumn id="1" xr3:uid="{61DBC157-1D65-459E-A081-7AA14FDAB1B1}" name="Chlorine conc spiked (mg/L)" dataDxfId="1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4E0879B-3E6F-4BF2-AD3D-65A9755A9437}" name="Table35311" displayName="Table35311" ref="B18:B23" totalsRowShown="0" headerRowDxfId="17" dataDxfId="16">
  <autoFilter ref="B18:B23" xr:uid="{EB0FFA65-82ED-4D03-B3A3-F9000DF46C8A}"/>
  <tableColumns count="1">
    <tableColumn id="1" xr3:uid="{5E0C6390-702E-4D6E-A812-6C1047A26088}" name="Volume of  1.1344 g/L sodium hypo  added" dataDxfId="15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C010D98-8A95-4E31-BC52-2DD031DAF601}" name="Table36812" displayName="Table36812" ref="C18:C23" totalsRowShown="0" headerRowDxfId="14" dataDxfId="13">
  <autoFilter ref="C18:C23" xr:uid="{05E46715-7D88-4732-B0EB-9DF82C108AF8}"/>
  <tableColumns count="1">
    <tableColumn id="1" xr3:uid="{24AFF0C6-CAF4-4A23-BC39-0CEC24228E3F}" name="Volume of 0.82 gN/L ammonia std added" dataDxfId="12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F9F70DD-A6ED-4451-864E-85285E55683C}" name="Table37913" displayName="Table37913" ref="D18:L25" totalsRowShown="0" headerRowDxfId="11" dataDxfId="10" headerRowBorderDxfId="9">
  <autoFilter ref="D18:L25" xr:uid="{E1D29424-66FB-4998-8FFA-55C2201E2ED5}"/>
  <tableColumns count="9">
    <tableColumn id="1" xr3:uid="{1079BB89-3FBD-4CBF-9818-DBD43FB77A7B}" name="Probe contaminants (final 100 ug/L)" dataDxfId="8"/>
    <tableColumn id="4" xr3:uid="{72F325DA-2C79-4531-AB1E-F5C41E42EE95}" name="UV exposure time (sec)" dataDxfId="7"/>
    <tableColumn id="5" xr3:uid="{9C8312C2-311E-41B1-92AD-923E079013DB}" name="Dilution" dataDxfId="6"/>
    <tableColumn id="6" xr3:uid="{17BE18A6-BA7D-4B57-9426-FF1CA012134A}" name="Free chlorine (mg/L)" dataDxfId="5"/>
    <tableColumn id="2" xr3:uid="{8B889EF8-19F4-4FD0-A734-A4E45877B89C}" name="Total Chlorine (mg/L)" dataDxfId="4"/>
    <tableColumn id="9" xr3:uid="{F2836F71-2931-4B26-A912-25AB8BEFE3E9}" name="pH" dataDxfId="3"/>
    <tableColumn id="3" xr3:uid="{A3528A1D-FD81-4555-A7FC-DC1F9A059DC0}" name="1,4-Dioxane (ug/L)" dataDxfId="2"/>
    <tableColumn id="7" xr3:uid="{1D3CDFE3-6FEE-4B35-965F-63D12481A42F}" name="Sucralose (ug/L)" dataDxfId="1"/>
    <tableColumn id="8" xr3:uid="{0F98D4C6-1B38-4801-9478-398424C4A0DC}" name="Caffeine (ug/L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Relationship Id="rId4" Type="http://schemas.openxmlformats.org/officeDocument/2006/relationships/table" Target="../tables/table2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Relationship Id="rId4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483B4-FA3B-410A-BD04-46E1A6610AFD}">
  <dimension ref="A1:L18"/>
  <sheetViews>
    <sheetView topLeftCell="C5" workbookViewId="0">
      <selection activeCell="K14" sqref="K14:K15"/>
    </sheetView>
  </sheetViews>
  <sheetFormatPr defaultRowHeight="15"/>
  <cols>
    <col min="1" max="1" width="40" customWidth="1"/>
    <col min="2" max="2" width="30.42578125" customWidth="1"/>
    <col min="3" max="5" width="28.5703125" customWidth="1"/>
    <col min="6" max="6" width="13.28515625" customWidth="1"/>
    <col min="7" max="7" width="15" customWidth="1"/>
    <col min="8" max="8" width="19" customWidth="1"/>
    <col min="9" max="9" width="9" customWidth="1"/>
    <col min="10" max="12" width="21" customWidth="1"/>
  </cols>
  <sheetData>
    <row r="1" spans="1:12">
      <c r="A1" s="68" t="s">
        <v>0</v>
      </c>
      <c r="B1" s="68"/>
      <c r="C1" s="68"/>
    </row>
    <row r="2" spans="1:12">
      <c r="A2" s="10" t="s">
        <v>1</v>
      </c>
      <c r="B2" s="11" t="s">
        <v>2</v>
      </c>
      <c r="C2" s="12" t="s">
        <v>3</v>
      </c>
    </row>
    <row r="3" spans="1:12" ht="56.25" customHeight="1">
      <c r="A3" s="16" t="s">
        <v>4</v>
      </c>
      <c r="B3" s="15" t="s">
        <v>5</v>
      </c>
      <c r="C3" s="9" t="s">
        <v>6</v>
      </c>
    </row>
    <row r="4" spans="1:12" ht="81.75" customHeight="1">
      <c r="A4" s="6" t="s">
        <v>7</v>
      </c>
      <c r="B4" s="4" t="s">
        <v>8</v>
      </c>
      <c r="C4" s="7" t="s">
        <v>9</v>
      </c>
    </row>
    <row r="5" spans="1:12" ht="81.75" customHeight="1">
      <c r="A5" s="6" t="s">
        <v>10</v>
      </c>
      <c r="B5" s="4" t="s">
        <v>11</v>
      </c>
      <c r="C5" s="20" t="s">
        <v>12</v>
      </c>
    </row>
    <row r="6" spans="1:12" ht="29.25">
      <c r="A6" s="5" t="s">
        <v>13</v>
      </c>
      <c r="B6" s="18" t="s">
        <v>14</v>
      </c>
      <c r="C6" s="8"/>
    </row>
    <row r="7" spans="1:12" ht="29.25" customHeight="1">
      <c r="A7" s="65">
        <v>45847</v>
      </c>
      <c r="B7" s="66"/>
      <c r="C7" s="66"/>
      <c r="D7" s="66"/>
      <c r="E7" s="17"/>
      <c r="F7" s="17"/>
      <c r="G7" s="17"/>
      <c r="H7" s="67"/>
      <c r="I7" s="67"/>
      <c r="J7" s="67"/>
      <c r="K7" s="23"/>
      <c r="L7" s="23"/>
    </row>
    <row r="8" spans="1:12" ht="32.25" customHeight="1">
      <c r="A8" s="14" t="s">
        <v>15</v>
      </c>
      <c r="B8" s="13" t="s">
        <v>16</v>
      </c>
      <c r="C8" s="13" t="s">
        <v>17</v>
      </c>
      <c r="D8" s="22" t="s">
        <v>18</v>
      </c>
      <c r="E8" s="22" t="s">
        <v>19</v>
      </c>
      <c r="F8" s="22" t="s">
        <v>20</v>
      </c>
      <c r="G8" s="22" t="s">
        <v>21</v>
      </c>
      <c r="H8" s="21" t="s">
        <v>22</v>
      </c>
      <c r="I8" s="21" t="s">
        <v>23</v>
      </c>
      <c r="J8" s="22" t="s">
        <v>24</v>
      </c>
      <c r="K8" s="24" t="s">
        <v>25</v>
      </c>
      <c r="L8" s="24" t="s">
        <v>26</v>
      </c>
    </row>
    <row r="9" spans="1:12" ht="43.5">
      <c r="A9" s="1">
        <v>0</v>
      </c>
      <c r="B9" s="1">
        <v>0</v>
      </c>
      <c r="C9" s="1" t="s">
        <v>27</v>
      </c>
      <c r="D9" s="25" t="s">
        <v>28</v>
      </c>
      <c r="E9" s="3" t="s">
        <v>29</v>
      </c>
      <c r="F9" s="1" t="s">
        <v>30</v>
      </c>
      <c r="G9" s="1">
        <v>0</v>
      </c>
      <c r="H9" s="34">
        <v>0.01</v>
      </c>
      <c r="I9" s="32">
        <v>5.74</v>
      </c>
      <c r="J9" s="35">
        <v>108.82685209300597</v>
      </c>
      <c r="K9" s="38">
        <v>95.065520483634401</v>
      </c>
      <c r="L9" s="38">
        <v>91.788339944387616</v>
      </c>
    </row>
    <row r="10" spans="1:12" ht="35.25" customHeight="1">
      <c r="A10" s="1">
        <v>0</v>
      </c>
      <c r="B10" s="1"/>
      <c r="C10" s="28"/>
      <c r="D10" s="25"/>
      <c r="E10" s="31">
        <v>30</v>
      </c>
      <c r="F10" s="1"/>
      <c r="G10" s="28"/>
      <c r="H10" s="1"/>
      <c r="I10" s="33">
        <v>5.73</v>
      </c>
      <c r="J10" s="36">
        <v>89.363750593689886</v>
      </c>
      <c r="K10" s="39">
        <v>86.229765957002897</v>
      </c>
      <c r="L10" s="39">
        <v>90.526621854809989</v>
      </c>
    </row>
    <row r="11" spans="1:12">
      <c r="A11" s="1">
        <v>0</v>
      </c>
      <c r="B11" s="30"/>
      <c r="C11" s="30"/>
      <c r="D11" s="25"/>
      <c r="E11" s="30">
        <v>60</v>
      </c>
      <c r="F11" s="1"/>
      <c r="G11" s="30"/>
      <c r="H11" s="30"/>
      <c r="I11" s="32">
        <v>5.63</v>
      </c>
      <c r="J11" s="35">
        <v>102.58825614166992</v>
      </c>
      <c r="K11" s="38">
        <v>93.910764224943804</v>
      </c>
      <c r="L11" s="38">
        <v>89.545060581043245</v>
      </c>
    </row>
    <row r="12" spans="1:12">
      <c r="A12" s="1">
        <v>0</v>
      </c>
      <c r="B12" s="28"/>
      <c r="C12" s="28"/>
      <c r="D12" s="25"/>
      <c r="E12" s="28">
        <v>90</v>
      </c>
      <c r="F12" s="3"/>
      <c r="G12" s="28"/>
      <c r="H12" s="1"/>
      <c r="I12" s="33">
        <v>5.63</v>
      </c>
      <c r="J12" s="36">
        <v>92.544114183833599</v>
      </c>
      <c r="K12" s="39">
        <v>96.393609700601047</v>
      </c>
      <c r="L12" s="39">
        <v>87.160855673434327</v>
      </c>
    </row>
    <row r="13" spans="1:12" ht="30" customHeight="1">
      <c r="A13" s="41">
        <v>0</v>
      </c>
      <c r="B13" s="42"/>
      <c r="C13" s="42"/>
      <c r="D13" s="46"/>
      <c r="E13" s="42">
        <v>120</v>
      </c>
      <c r="F13" s="41"/>
      <c r="G13" s="42"/>
      <c r="H13" s="42"/>
      <c r="I13" s="43">
        <v>5.58</v>
      </c>
      <c r="J13" s="61">
        <v>90.260899963799034</v>
      </c>
      <c r="K13" s="62">
        <v>95.090778622116588</v>
      </c>
      <c r="L13" s="62">
        <v>83.51976773076575</v>
      </c>
    </row>
    <row r="14" spans="1:12">
      <c r="A14" s="1">
        <v>0</v>
      </c>
      <c r="B14" s="28"/>
      <c r="C14" s="28"/>
      <c r="D14" s="25"/>
      <c r="E14" s="28">
        <v>150</v>
      </c>
      <c r="F14" s="1"/>
      <c r="G14" s="28"/>
      <c r="H14" s="1"/>
      <c r="I14" s="1">
        <v>5.59</v>
      </c>
      <c r="J14" s="39">
        <v>90.501642076532974</v>
      </c>
      <c r="K14" s="39">
        <v>98.374618160551293</v>
      </c>
      <c r="L14" s="39">
        <v>84.399974003979082</v>
      </c>
    </row>
    <row r="15" spans="1:12">
      <c r="A15" s="1">
        <v>0</v>
      </c>
      <c r="B15" s="30"/>
      <c r="C15" s="30"/>
      <c r="D15" s="25"/>
      <c r="E15" s="1">
        <v>180</v>
      </c>
      <c r="F15" s="1"/>
      <c r="G15" s="1"/>
      <c r="H15" s="1"/>
      <c r="I15" s="1">
        <v>5.59</v>
      </c>
      <c r="J15" s="39">
        <v>87.875799423253952</v>
      </c>
      <c r="K15" s="39">
        <v>90.484921034793729</v>
      </c>
      <c r="L15" s="39">
        <v>80.902839007592945</v>
      </c>
    </row>
    <row r="16" spans="1:12" hidden="1">
      <c r="D16" s="60"/>
      <c r="E16" s="55"/>
      <c r="F16" s="56"/>
      <c r="G16" s="56"/>
      <c r="H16" s="56"/>
      <c r="I16" s="56"/>
      <c r="J16" s="59"/>
      <c r="K16" s="56"/>
      <c r="L16" s="56"/>
    </row>
    <row r="17" spans="4:12" hidden="1">
      <c r="D17" s="54"/>
      <c r="E17" s="55"/>
      <c r="F17" s="41"/>
      <c r="G17" s="41"/>
      <c r="H17" s="56"/>
      <c r="I17" s="57"/>
      <c r="J17" s="58"/>
      <c r="K17" s="56"/>
      <c r="L17" s="56"/>
    </row>
    <row r="18" spans="4:12" hidden="1"/>
  </sheetData>
  <mergeCells count="3">
    <mergeCell ref="A7:D7"/>
    <mergeCell ref="H7:J7"/>
    <mergeCell ref="A1:C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39CBF-FC52-4960-AB08-43507300FC9C}">
  <dimension ref="A1:L26"/>
  <sheetViews>
    <sheetView tabSelected="1" topLeftCell="A11" workbookViewId="0">
      <selection activeCell="J25" sqref="J25:J26"/>
    </sheetView>
  </sheetViews>
  <sheetFormatPr defaultRowHeight="15"/>
  <cols>
    <col min="1" max="1" width="40" customWidth="1"/>
    <col min="2" max="2" width="30.42578125" customWidth="1"/>
    <col min="3" max="5" width="28.5703125" customWidth="1"/>
    <col min="6" max="6" width="13.28515625" customWidth="1"/>
    <col min="7" max="7" width="15" customWidth="1"/>
    <col min="8" max="8" width="19" customWidth="1"/>
    <col min="9" max="9" width="9" customWidth="1"/>
    <col min="10" max="12" width="21" customWidth="1"/>
  </cols>
  <sheetData>
    <row r="1" spans="1:4">
      <c r="A1" s="68" t="s">
        <v>31</v>
      </c>
      <c r="B1" s="68"/>
      <c r="C1" s="68"/>
    </row>
    <row r="2" spans="1:4">
      <c r="A2" s="10" t="s">
        <v>1</v>
      </c>
      <c r="B2" s="11" t="s">
        <v>2</v>
      </c>
      <c r="C2" s="12" t="s">
        <v>3</v>
      </c>
    </row>
    <row r="3" spans="1:4" ht="56.25" customHeight="1">
      <c r="A3" s="16" t="s">
        <v>4</v>
      </c>
      <c r="B3" s="15" t="s">
        <v>5</v>
      </c>
      <c r="C3" s="9" t="s">
        <v>32</v>
      </c>
    </row>
    <row r="4" spans="1:4" ht="43.5" customHeight="1">
      <c r="A4" s="69" t="s">
        <v>33</v>
      </c>
      <c r="B4" s="70" t="s">
        <v>34</v>
      </c>
      <c r="C4" s="73" t="s">
        <v>35</v>
      </c>
      <c r="D4" s="75"/>
    </row>
    <row r="5" spans="1:4">
      <c r="A5" s="69"/>
      <c r="B5" s="71"/>
      <c r="C5" s="74"/>
      <c r="D5" s="75"/>
    </row>
    <row r="6" spans="1:4">
      <c r="A6" s="69"/>
      <c r="B6" s="71"/>
      <c r="C6" s="74"/>
      <c r="D6" s="75"/>
    </row>
    <row r="7" spans="1:4">
      <c r="A7" s="69"/>
      <c r="B7" s="71"/>
      <c r="C7" s="74"/>
      <c r="D7" s="75"/>
    </row>
    <row r="8" spans="1:4">
      <c r="A8" s="69"/>
      <c r="B8" s="71"/>
      <c r="C8" s="74"/>
      <c r="D8" s="75"/>
    </row>
    <row r="9" spans="1:4">
      <c r="A9" s="69"/>
      <c r="B9" s="71"/>
      <c r="C9" s="74"/>
      <c r="D9" s="75"/>
    </row>
    <row r="10" spans="1:4">
      <c r="A10" s="69"/>
      <c r="B10" s="72"/>
      <c r="C10" s="74"/>
      <c r="D10" s="75"/>
    </row>
    <row r="11" spans="1:4" ht="81.75" customHeight="1">
      <c r="A11" s="6" t="s">
        <v>7</v>
      </c>
      <c r="B11" s="4" t="s">
        <v>8</v>
      </c>
      <c r="C11" s="7" t="s">
        <v>9</v>
      </c>
    </row>
    <row r="12" spans="1:4" ht="81.75" customHeight="1">
      <c r="A12" s="6" t="s">
        <v>10</v>
      </c>
      <c r="B12" s="4" t="s">
        <v>11</v>
      </c>
      <c r="C12" s="20" t="s">
        <v>12</v>
      </c>
    </row>
    <row r="13" spans="1:4" ht="29.25">
      <c r="A13" s="5" t="s">
        <v>13</v>
      </c>
      <c r="B13" s="18" t="s">
        <v>14</v>
      </c>
      <c r="C13" s="8"/>
    </row>
    <row r="14" spans="1:4" ht="29.25">
      <c r="A14" s="5" t="s">
        <v>36</v>
      </c>
      <c r="B14" s="3" t="s">
        <v>37</v>
      </c>
      <c r="C14" s="76" t="s">
        <v>38</v>
      </c>
    </row>
    <row r="15" spans="1:4" ht="29.25">
      <c r="A15" s="5" t="s">
        <v>39</v>
      </c>
      <c r="B15" s="3" t="s">
        <v>40</v>
      </c>
      <c r="C15" s="77"/>
    </row>
    <row r="16" spans="1:4">
      <c r="A16" s="5" t="s">
        <v>41</v>
      </c>
      <c r="B16" s="1" t="s">
        <v>42</v>
      </c>
      <c r="C16" s="8" t="s">
        <v>43</v>
      </c>
    </row>
    <row r="17" spans="1:12" ht="29.25" customHeight="1">
      <c r="A17" s="65">
        <v>45842</v>
      </c>
      <c r="B17" s="66"/>
      <c r="C17" s="66"/>
      <c r="D17" s="66"/>
      <c r="E17" s="17"/>
      <c r="F17" s="17"/>
      <c r="G17" s="17"/>
      <c r="H17" s="63"/>
      <c r="I17" s="63"/>
      <c r="J17" s="63" t="s">
        <v>44</v>
      </c>
      <c r="K17" s="23" t="s">
        <v>45</v>
      </c>
      <c r="L17" s="23"/>
    </row>
    <row r="18" spans="1:12" ht="32.25" customHeight="1">
      <c r="A18" s="14" t="s">
        <v>15</v>
      </c>
      <c r="B18" s="13" t="s">
        <v>16</v>
      </c>
      <c r="C18" s="13" t="s">
        <v>17</v>
      </c>
      <c r="D18" s="22" t="s">
        <v>18</v>
      </c>
      <c r="E18" s="22" t="s">
        <v>19</v>
      </c>
      <c r="F18" s="22" t="s">
        <v>20</v>
      </c>
      <c r="G18" s="22" t="s">
        <v>21</v>
      </c>
      <c r="H18" s="21" t="s">
        <v>22</v>
      </c>
      <c r="I18" s="21" t="s">
        <v>23</v>
      </c>
      <c r="J18" s="22" t="s">
        <v>24</v>
      </c>
      <c r="K18" s="24" t="s">
        <v>25</v>
      </c>
      <c r="L18" s="24" t="s">
        <v>26</v>
      </c>
    </row>
    <row r="19" spans="1:12" ht="29.25">
      <c r="A19" s="1">
        <v>12.6</v>
      </c>
      <c r="B19" s="1" t="s">
        <v>46</v>
      </c>
      <c r="C19" s="1" t="s">
        <v>27</v>
      </c>
      <c r="D19" s="25" t="s">
        <v>28</v>
      </c>
      <c r="E19" s="3" t="s">
        <v>47</v>
      </c>
      <c r="F19" s="1">
        <v>8</v>
      </c>
      <c r="G19" s="1">
        <f t="shared" ref="G19:G26" si="0">0.53*8</f>
        <v>4.24</v>
      </c>
      <c r="H19" s="34">
        <f t="shared" ref="H19:H26" si="1">1.11*8</f>
        <v>8.8800000000000008</v>
      </c>
      <c r="I19" s="32">
        <v>5.93</v>
      </c>
      <c r="J19" s="35">
        <v>78.851545086278549</v>
      </c>
      <c r="K19" s="38">
        <v>95.29</v>
      </c>
      <c r="L19" s="26"/>
    </row>
    <row r="20" spans="1:12" ht="35.25" customHeight="1">
      <c r="A20" s="1">
        <v>12.6</v>
      </c>
      <c r="B20" s="1"/>
      <c r="C20" s="28"/>
      <c r="D20" s="25"/>
      <c r="E20" s="31" t="s">
        <v>48</v>
      </c>
      <c r="F20" s="1">
        <v>8</v>
      </c>
      <c r="G20" s="28">
        <f>0.56*8</f>
        <v>4.4800000000000004</v>
      </c>
      <c r="H20" s="51">
        <f>0.79*8</f>
        <v>6.32</v>
      </c>
      <c r="I20" s="33">
        <v>5.82</v>
      </c>
      <c r="J20" s="36">
        <v>123.39429157177361</v>
      </c>
      <c r="K20" s="39">
        <v>104.55</v>
      </c>
      <c r="L20" s="29"/>
    </row>
    <row r="21" spans="1:12">
      <c r="A21" s="1">
        <v>12.6</v>
      </c>
      <c r="B21" s="30"/>
      <c r="C21" s="30"/>
      <c r="D21" s="25"/>
      <c r="E21" s="30">
        <v>30</v>
      </c>
      <c r="F21" s="1">
        <v>8</v>
      </c>
      <c r="G21" s="30">
        <f>0.49*8</f>
        <v>3.92</v>
      </c>
      <c r="H21" s="34">
        <f>0.58*8</f>
        <v>4.6399999999999997</v>
      </c>
      <c r="I21" s="32">
        <v>5.59</v>
      </c>
      <c r="J21" s="35">
        <v>22.454004771463794</v>
      </c>
      <c r="K21" s="38">
        <v>36.729999999999997</v>
      </c>
      <c r="L21" s="26"/>
    </row>
    <row r="22" spans="1:12">
      <c r="A22" s="1">
        <v>12.6</v>
      </c>
      <c r="B22" s="28"/>
      <c r="C22" s="28"/>
      <c r="D22" s="25"/>
      <c r="E22" s="28">
        <v>60</v>
      </c>
      <c r="F22" s="3">
        <v>8</v>
      </c>
      <c r="G22" s="28">
        <f>0.4*8</f>
        <v>3.2</v>
      </c>
      <c r="H22" s="51">
        <f>0.43*8</f>
        <v>3.44</v>
      </c>
      <c r="I22" s="33">
        <v>5.39</v>
      </c>
      <c r="J22" s="36">
        <v>3.2950820686757289</v>
      </c>
      <c r="K22" s="39">
        <v>9.3000000000000007</v>
      </c>
      <c r="L22" s="29"/>
    </row>
    <row r="23" spans="1:12" ht="30" customHeight="1">
      <c r="A23" s="1">
        <v>12.6</v>
      </c>
      <c r="B23" s="30"/>
      <c r="C23" s="30"/>
      <c r="D23" s="25"/>
      <c r="E23" s="30">
        <v>90</v>
      </c>
      <c r="F23" s="1">
        <v>8</v>
      </c>
      <c r="G23" s="30">
        <f>0.32*8</f>
        <v>2.56</v>
      </c>
      <c r="H23" s="34">
        <f>0.32*8</f>
        <v>2.56</v>
      </c>
      <c r="I23" s="32">
        <v>5.21</v>
      </c>
      <c r="J23" s="35">
        <v>1.1381914258662371</v>
      </c>
      <c r="K23" s="38" t="s">
        <v>49</v>
      </c>
      <c r="L23" s="26"/>
    </row>
    <row r="24" spans="1:12">
      <c r="A24" s="1">
        <v>12.6</v>
      </c>
      <c r="B24" s="28"/>
      <c r="C24" s="28"/>
      <c r="D24" s="25"/>
      <c r="E24" s="28">
        <v>120</v>
      </c>
      <c r="F24" s="1">
        <v>2</v>
      </c>
      <c r="G24" s="28">
        <f>0.86*2</f>
        <v>1.72</v>
      </c>
      <c r="H24" s="51">
        <f>0.9*2</f>
        <v>1.8</v>
      </c>
      <c r="I24" s="33">
        <v>5.1100000000000003</v>
      </c>
      <c r="J24" s="36" t="s">
        <v>49</v>
      </c>
      <c r="K24" s="39" t="s">
        <v>50</v>
      </c>
      <c r="L24" s="29"/>
    </row>
    <row r="25" spans="1:12">
      <c r="A25" s="42">
        <v>12.6</v>
      </c>
      <c r="B25" s="42"/>
      <c r="C25" s="42"/>
      <c r="D25" s="46"/>
      <c r="E25" s="42">
        <v>150</v>
      </c>
      <c r="F25" s="41" t="s">
        <v>30</v>
      </c>
      <c r="G25" s="42">
        <v>0.87</v>
      </c>
      <c r="H25" s="52">
        <v>0.92</v>
      </c>
      <c r="I25" s="43">
        <v>4.8600000000000003</v>
      </c>
      <c r="J25" s="36" t="s">
        <v>49</v>
      </c>
      <c r="K25" s="48" t="s">
        <v>50</v>
      </c>
      <c r="L25" s="48"/>
    </row>
    <row r="26" spans="1:12">
      <c r="A26" s="50"/>
      <c r="B26" s="50"/>
      <c r="C26" s="50"/>
      <c r="D26" s="45"/>
      <c r="E26" s="33">
        <v>180</v>
      </c>
      <c r="F26" s="1" t="s">
        <v>30</v>
      </c>
      <c r="G26" s="53">
        <v>0.91</v>
      </c>
      <c r="H26" s="51">
        <v>0.96</v>
      </c>
      <c r="I26" s="1">
        <v>4.8600000000000003</v>
      </c>
      <c r="J26" s="36" t="s">
        <v>49</v>
      </c>
      <c r="K26" s="29" t="s">
        <v>50</v>
      </c>
      <c r="L26" s="1"/>
    </row>
  </sheetData>
  <mergeCells count="7">
    <mergeCell ref="A17:D17"/>
    <mergeCell ref="A1:C1"/>
    <mergeCell ref="A4:A10"/>
    <mergeCell ref="B4:B10"/>
    <mergeCell ref="C4:C10"/>
    <mergeCell ref="D4:D10"/>
    <mergeCell ref="C14:C15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1FA74-CA7B-4683-B76E-9B1D01CBFC8C}">
  <dimension ref="A1:L26"/>
  <sheetViews>
    <sheetView topLeftCell="A12" workbookViewId="0">
      <selection activeCell="J17" sqref="J17"/>
    </sheetView>
  </sheetViews>
  <sheetFormatPr defaultRowHeight="15"/>
  <cols>
    <col min="1" max="1" width="40" customWidth="1"/>
    <col min="2" max="2" width="30.42578125" customWidth="1"/>
    <col min="3" max="5" width="28.5703125" customWidth="1"/>
    <col min="6" max="6" width="13.28515625" customWidth="1"/>
    <col min="7" max="7" width="15" customWidth="1"/>
    <col min="8" max="8" width="19" customWidth="1"/>
    <col min="9" max="9" width="9" customWidth="1"/>
    <col min="10" max="12" width="21" customWidth="1"/>
  </cols>
  <sheetData>
    <row r="1" spans="1:4">
      <c r="A1" s="68" t="s">
        <v>51</v>
      </c>
      <c r="B1" s="68"/>
      <c r="C1" s="68"/>
    </row>
    <row r="2" spans="1:4">
      <c r="A2" s="10" t="s">
        <v>1</v>
      </c>
      <c r="B2" s="11" t="s">
        <v>2</v>
      </c>
      <c r="C2" s="12" t="s">
        <v>3</v>
      </c>
    </row>
    <row r="3" spans="1:4" ht="56.25" customHeight="1">
      <c r="A3" s="16" t="s">
        <v>4</v>
      </c>
      <c r="B3" s="15" t="s">
        <v>5</v>
      </c>
      <c r="C3" s="9" t="s">
        <v>52</v>
      </c>
      <c r="D3" t="s">
        <v>53</v>
      </c>
    </row>
    <row r="4" spans="1:4" ht="43.5" customHeight="1">
      <c r="A4" s="69" t="s">
        <v>33</v>
      </c>
      <c r="B4" s="70" t="s">
        <v>34</v>
      </c>
      <c r="C4" s="73" t="s">
        <v>35</v>
      </c>
      <c r="D4" s="75" t="s">
        <v>54</v>
      </c>
    </row>
    <row r="5" spans="1:4">
      <c r="A5" s="69"/>
      <c r="B5" s="71"/>
      <c r="C5" s="74"/>
      <c r="D5" s="75"/>
    </row>
    <row r="6" spans="1:4">
      <c r="A6" s="69"/>
      <c r="B6" s="71"/>
      <c r="C6" s="74"/>
      <c r="D6" s="75"/>
    </row>
    <row r="7" spans="1:4">
      <c r="A7" s="69"/>
      <c r="B7" s="71"/>
      <c r="C7" s="74"/>
      <c r="D7" s="75"/>
    </row>
    <row r="8" spans="1:4">
      <c r="A8" s="69"/>
      <c r="B8" s="71"/>
      <c r="C8" s="74"/>
      <c r="D8" s="75"/>
    </row>
    <row r="9" spans="1:4">
      <c r="A9" s="69"/>
      <c r="B9" s="71"/>
      <c r="C9" s="74"/>
      <c r="D9" s="75"/>
    </row>
    <row r="10" spans="1:4">
      <c r="A10" s="69"/>
      <c r="B10" s="72"/>
      <c r="C10" s="74"/>
      <c r="D10" s="75"/>
    </row>
    <row r="11" spans="1:4" ht="81.75" customHeight="1">
      <c r="A11" s="6" t="s">
        <v>7</v>
      </c>
      <c r="B11" s="4" t="s">
        <v>8</v>
      </c>
      <c r="C11" s="7" t="s">
        <v>9</v>
      </c>
    </row>
    <row r="12" spans="1:4" ht="81.75" customHeight="1">
      <c r="A12" s="6" t="s">
        <v>10</v>
      </c>
      <c r="B12" s="4" t="s">
        <v>11</v>
      </c>
      <c r="C12" s="20" t="s">
        <v>12</v>
      </c>
    </row>
    <row r="13" spans="1:4" ht="29.25">
      <c r="A13" s="5" t="s">
        <v>13</v>
      </c>
      <c r="B13" s="18" t="s">
        <v>14</v>
      </c>
      <c r="C13" s="8"/>
    </row>
    <row r="14" spans="1:4" ht="29.25">
      <c r="A14" s="5" t="s">
        <v>36</v>
      </c>
      <c r="B14" s="3" t="s">
        <v>37</v>
      </c>
      <c r="C14" s="76" t="s">
        <v>38</v>
      </c>
    </row>
    <row r="15" spans="1:4" ht="29.25">
      <c r="A15" s="5" t="s">
        <v>39</v>
      </c>
      <c r="B15" s="3" t="s">
        <v>40</v>
      </c>
      <c r="C15" s="77"/>
    </row>
    <row r="16" spans="1:4">
      <c r="A16" s="5" t="s">
        <v>41</v>
      </c>
      <c r="B16" s="1" t="s">
        <v>42</v>
      </c>
      <c r="C16" s="8" t="s">
        <v>43</v>
      </c>
    </row>
    <row r="17" spans="1:12" ht="29.25" customHeight="1">
      <c r="A17" s="65">
        <v>45842</v>
      </c>
      <c r="B17" s="66"/>
      <c r="C17" s="66"/>
      <c r="D17" s="66"/>
      <c r="E17" s="17"/>
      <c r="F17" s="17"/>
      <c r="G17" s="17"/>
      <c r="H17" s="63"/>
      <c r="I17" s="63"/>
      <c r="J17" s="63" t="s">
        <v>44</v>
      </c>
      <c r="K17" s="23" t="s">
        <v>45</v>
      </c>
      <c r="L17" s="23"/>
    </row>
    <row r="18" spans="1:12" ht="32.25" customHeight="1">
      <c r="A18" s="14" t="s">
        <v>15</v>
      </c>
      <c r="B18" s="13" t="s">
        <v>16</v>
      </c>
      <c r="C18" s="13" t="s">
        <v>17</v>
      </c>
      <c r="D18" s="22" t="s">
        <v>18</v>
      </c>
      <c r="E18" s="22" t="s">
        <v>19</v>
      </c>
      <c r="F18" s="22" t="s">
        <v>20</v>
      </c>
      <c r="G18" s="22" t="s">
        <v>21</v>
      </c>
      <c r="H18" s="21" t="s">
        <v>22</v>
      </c>
      <c r="I18" s="21" t="s">
        <v>23</v>
      </c>
      <c r="J18" s="22" t="s">
        <v>24</v>
      </c>
      <c r="K18" s="24" t="s">
        <v>25</v>
      </c>
      <c r="L18" s="24" t="s">
        <v>26</v>
      </c>
    </row>
    <row r="19" spans="1:12" ht="29.25">
      <c r="A19" s="1">
        <v>9.6</v>
      </c>
      <c r="B19" s="1" t="s">
        <v>55</v>
      </c>
      <c r="C19" s="1" t="s">
        <v>27</v>
      </c>
      <c r="D19" s="25" t="s">
        <v>28</v>
      </c>
      <c r="E19" s="3" t="s">
        <v>47</v>
      </c>
      <c r="F19" s="1">
        <v>5</v>
      </c>
      <c r="G19" s="1">
        <f t="shared" ref="G19:G26" si="0">0.51*5</f>
        <v>2.5499999999999998</v>
      </c>
      <c r="H19" s="34">
        <f t="shared" ref="H19:H26" si="1">1.69*5</f>
        <v>8.4499999999999993</v>
      </c>
      <c r="I19" s="32">
        <v>5.77</v>
      </c>
      <c r="J19" s="35">
        <v>70.343733389351215</v>
      </c>
      <c r="K19" s="38">
        <v>82.76</v>
      </c>
      <c r="L19" s="26"/>
    </row>
    <row r="20" spans="1:12" ht="35.25" customHeight="1">
      <c r="A20" s="1">
        <v>9.6</v>
      </c>
      <c r="B20" s="1"/>
      <c r="C20" s="28"/>
      <c r="D20" s="25"/>
      <c r="E20" s="31" t="s">
        <v>48</v>
      </c>
      <c r="F20" s="1">
        <v>5</v>
      </c>
      <c r="G20" s="28">
        <f>0.39*5</f>
        <v>1.9500000000000002</v>
      </c>
      <c r="H20" s="51">
        <f>1*5</f>
        <v>5</v>
      </c>
      <c r="I20" s="33">
        <v>5.62</v>
      </c>
      <c r="J20" s="36">
        <v>82.882817872071243</v>
      </c>
      <c r="K20" s="39">
        <v>82.46</v>
      </c>
      <c r="L20" s="29"/>
    </row>
    <row r="21" spans="1:12">
      <c r="A21" s="30">
        <v>9.6</v>
      </c>
      <c r="B21" s="30"/>
      <c r="C21" s="30"/>
      <c r="D21" s="25"/>
      <c r="E21" s="30">
        <v>30</v>
      </c>
      <c r="F21" s="1">
        <v>5</v>
      </c>
      <c r="G21" s="30">
        <f>0.37*5</f>
        <v>1.85</v>
      </c>
      <c r="H21" s="34">
        <f>0.67*5</f>
        <v>3.35</v>
      </c>
      <c r="I21" s="32">
        <v>5.41</v>
      </c>
      <c r="J21" s="35">
        <v>18.92323864737012</v>
      </c>
      <c r="K21" s="38">
        <v>37.75</v>
      </c>
      <c r="L21" s="26"/>
    </row>
    <row r="22" spans="1:12">
      <c r="A22" s="28">
        <v>9.6</v>
      </c>
      <c r="B22" s="28"/>
      <c r="C22" s="28"/>
      <c r="D22" s="25"/>
      <c r="E22" s="28">
        <v>60</v>
      </c>
      <c r="F22" s="1">
        <v>5</v>
      </c>
      <c r="G22" s="28">
        <f>0.32*5</f>
        <v>1.6</v>
      </c>
      <c r="H22" s="51">
        <f>0.49*5</f>
        <v>2.4500000000000002</v>
      </c>
      <c r="I22" s="33">
        <v>5.2</v>
      </c>
      <c r="J22" s="36">
        <v>2.898949466988356</v>
      </c>
      <c r="K22" s="39">
        <v>12.09</v>
      </c>
      <c r="L22" s="29"/>
    </row>
    <row r="23" spans="1:12" ht="30" customHeight="1">
      <c r="A23" s="30">
        <v>9.6</v>
      </c>
      <c r="B23" s="30"/>
      <c r="C23" s="30"/>
      <c r="D23" s="25"/>
      <c r="E23" s="30">
        <v>90</v>
      </c>
      <c r="F23" s="1">
        <v>5</v>
      </c>
      <c r="G23" s="30">
        <f>0.24*5</f>
        <v>1.2</v>
      </c>
      <c r="H23" s="34">
        <f>0.32*5</f>
        <v>1.6</v>
      </c>
      <c r="I23" s="32">
        <v>5.05</v>
      </c>
      <c r="J23" s="35">
        <v>1.1284630396940298</v>
      </c>
      <c r="K23" s="38">
        <v>3.46</v>
      </c>
      <c r="L23" s="26"/>
    </row>
    <row r="24" spans="1:12">
      <c r="A24" s="28">
        <v>9.6</v>
      </c>
      <c r="B24" s="28"/>
      <c r="C24" s="28"/>
      <c r="D24" s="25"/>
      <c r="E24" s="28">
        <v>120</v>
      </c>
      <c r="F24" s="1" t="s">
        <v>30</v>
      </c>
      <c r="G24" s="28">
        <v>0.81</v>
      </c>
      <c r="H24" s="51">
        <v>1.03</v>
      </c>
      <c r="I24" s="33">
        <v>4.8600000000000003</v>
      </c>
      <c r="J24" s="36" t="s">
        <v>49</v>
      </c>
      <c r="K24" s="39" t="s">
        <v>50</v>
      </c>
      <c r="L24" s="29"/>
    </row>
    <row r="25" spans="1:12">
      <c r="A25" s="42">
        <v>9.6</v>
      </c>
      <c r="B25" s="42"/>
      <c r="C25" s="42"/>
      <c r="D25" s="46"/>
      <c r="E25" s="42">
        <v>150</v>
      </c>
      <c r="F25" s="1" t="s">
        <v>30</v>
      </c>
      <c r="G25" s="42">
        <v>0.54</v>
      </c>
      <c r="H25" s="52">
        <v>0.68</v>
      </c>
      <c r="I25" s="43">
        <v>4.8</v>
      </c>
      <c r="J25" s="36" t="s">
        <v>49</v>
      </c>
      <c r="K25" s="48" t="s">
        <v>50</v>
      </c>
      <c r="L25" s="48"/>
    </row>
    <row r="26" spans="1:12">
      <c r="A26" s="50"/>
      <c r="B26" s="50"/>
      <c r="C26" s="50"/>
      <c r="D26" s="45"/>
      <c r="E26" s="1">
        <v>180</v>
      </c>
      <c r="F26" s="1" t="s">
        <v>30</v>
      </c>
      <c r="G26" s="1">
        <v>0.36</v>
      </c>
      <c r="H26" s="51">
        <v>0.42</v>
      </c>
      <c r="I26" s="1">
        <v>4.71</v>
      </c>
      <c r="J26" s="29" t="s">
        <v>50</v>
      </c>
      <c r="K26" s="29" t="s">
        <v>50</v>
      </c>
      <c r="L26" s="1"/>
    </row>
  </sheetData>
  <mergeCells count="7">
    <mergeCell ref="C14:C15"/>
    <mergeCell ref="A17:D17"/>
    <mergeCell ref="D4:D10"/>
    <mergeCell ref="A1:C1"/>
    <mergeCell ref="A4:A10"/>
    <mergeCell ref="B4:B10"/>
    <mergeCell ref="C4:C10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7CE8-C2D6-4442-8386-118871A6D4DB}">
  <dimension ref="A1:L26"/>
  <sheetViews>
    <sheetView topLeftCell="A12" workbookViewId="0">
      <selection activeCell="J17" sqref="J17"/>
    </sheetView>
  </sheetViews>
  <sheetFormatPr defaultRowHeight="15"/>
  <cols>
    <col min="1" max="1" width="40" customWidth="1"/>
    <col min="2" max="2" width="30.42578125" customWidth="1"/>
    <col min="3" max="5" width="28.5703125" customWidth="1"/>
    <col min="6" max="6" width="13.28515625" customWidth="1"/>
    <col min="7" max="7" width="15" customWidth="1"/>
    <col min="8" max="8" width="19" customWidth="1"/>
    <col min="9" max="9" width="9" customWidth="1"/>
    <col min="10" max="12" width="21" customWidth="1"/>
  </cols>
  <sheetData>
    <row r="1" spans="1:4">
      <c r="A1" s="68" t="s">
        <v>56</v>
      </c>
      <c r="B1" s="68"/>
      <c r="C1" s="68"/>
    </row>
    <row r="2" spans="1:4">
      <c r="A2" s="10" t="s">
        <v>1</v>
      </c>
      <c r="B2" s="11" t="s">
        <v>2</v>
      </c>
      <c r="C2" s="12" t="s">
        <v>3</v>
      </c>
    </row>
    <row r="3" spans="1:4" ht="56.25" customHeight="1">
      <c r="A3" s="16" t="s">
        <v>4</v>
      </c>
      <c r="B3" s="15" t="s">
        <v>5</v>
      </c>
      <c r="C3" s="9" t="s">
        <v>57</v>
      </c>
    </row>
    <row r="4" spans="1:4" ht="43.5" customHeight="1">
      <c r="A4" s="69" t="s">
        <v>33</v>
      </c>
      <c r="B4" s="70" t="s">
        <v>34</v>
      </c>
      <c r="C4" s="73" t="s">
        <v>35</v>
      </c>
      <c r="D4" s="37"/>
    </row>
    <row r="5" spans="1:4" ht="15" customHeight="1">
      <c r="A5" s="69"/>
      <c r="B5" s="71"/>
      <c r="C5" s="74"/>
      <c r="D5" s="37"/>
    </row>
    <row r="6" spans="1:4">
      <c r="A6" s="69"/>
      <c r="B6" s="71"/>
      <c r="C6" s="74"/>
      <c r="D6" s="37"/>
    </row>
    <row r="7" spans="1:4">
      <c r="A7" s="69"/>
      <c r="B7" s="71"/>
      <c r="C7" s="74"/>
      <c r="D7" s="37"/>
    </row>
    <row r="8" spans="1:4">
      <c r="A8" s="69"/>
      <c r="B8" s="71"/>
      <c r="C8" s="74"/>
      <c r="D8" s="37"/>
    </row>
    <row r="9" spans="1:4">
      <c r="A9" s="69"/>
      <c r="B9" s="71"/>
      <c r="C9" s="74"/>
      <c r="D9" s="37"/>
    </row>
    <row r="10" spans="1:4">
      <c r="A10" s="69"/>
      <c r="B10" s="72"/>
      <c r="C10" s="74"/>
      <c r="D10" s="37"/>
    </row>
    <row r="11" spans="1:4" ht="81.75" customHeight="1">
      <c r="A11" s="6" t="s">
        <v>7</v>
      </c>
      <c r="B11" s="4" t="s">
        <v>8</v>
      </c>
      <c r="C11" s="7" t="s">
        <v>9</v>
      </c>
    </row>
    <row r="12" spans="1:4" ht="81.75" customHeight="1">
      <c r="A12" s="6" t="s">
        <v>10</v>
      </c>
      <c r="B12" s="4" t="s">
        <v>11</v>
      </c>
      <c r="C12" s="20" t="s">
        <v>12</v>
      </c>
    </row>
    <row r="13" spans="1:4" ht="29.25">
      <c r="A13" s="5" t="s">
        <v>13</v>
      </c>
      <c r="B13" s="18" t="s">
        <v>14</v>
      </c>
      <c r="C13" s="8"/>
    </row>
    <row r="14" spans="1:4" ht="29.25">
      <c r="A14" s="5" t="s">
        <v>36</v>
      </c>
      <c r="B14" s="3" t="s">
        <v>37</v>
      </c>
      <c r="C14" s="76" t="s">
        <v>38</v>
      </c>
    </row>
    <row r="15" spans="1:4" ht="29.25">
      <c r="A15" s="5" t="s">
        <v>39</v>
      </c>
      <c r="B15" s="3" t="s">
        <v>40</v>
      </c>
      <c r="C15" s="77"/>
    </row>
    <row r="16" spans="1:4">
      <c r="A16" s="5" t="s">
        <v>41</v>
      </c>
      <c r="B16" s="1" t="s">
        <v>42</v>
      </c>
      <c r="C16" s="8" t="s">
        <v>43</v>
      </c>
    </row>
    <row r="17" spans="1:12" ht="29.25" customHeight="1">
      <c r="A17" s="65">
        <v>45841</v>
      </c>
      <c r="B17" s="66"/>
      <c r="C17" s="66"/>
      <c r="D17" s="66"/>
      <c r="E17" s="17"/>
      <c r="F17" s="17"/>
      <c r="G17" s="17"/>
      <c r="H17" s="63"/>
      <c r="I17" s="63"/>
      <c r="J17" s="63" t="s">
        <v>44</v>
      </c>
      <c r="K17" s="23"/>
      <c r="L17" s="23"/>
    </row>
    <row r="18" spans="1:12" ht="32.25" customHeight="1">
      <c r="A18" s="14" t="s">
        <v>15</v>
      </c>
      <c r="B18" s="13" t="s">
        <v>16</v>
      </c>
      <c r="C18" s="13" t="s">
        <v>17</v>
      </c>
      <c r="D18" s="22" t="s">
        <v>18</v>
      </c>
      <c r="E18" s="22" t="s">
        <v>19</v>
      </c>
      <c r="F18" s="22" t="s">
        <v>20</v>
      </c>
      <c r="G18" s="22" t="s">
        <v>21</v>
      </c>
      <c r="H18" s="21" t="s">
        <v>22</v>
      </c>
      <c r="I18" s="21" t="s">
        <v>23</v>
      </c>
      <c r="J18" s="22" t="s">
        <v>24</v>
      </c>
      <c r="K18" s="24" t="s">
        <v>25</v>
      </c>
      <c r="L18" s="24" t="s">
        <v>26</v>
      </c>
    </row>
    <row r="19" spans="1:12" ht="29.25">
      <c r="A19" s="1">
        <v>6</v>
      </c>
      <c r="B19" s="1" t="s">
        <v>58</v>
      </c>
      <c r="C19" s="1" t="s">
        <v>27</v>
      </c>
      <c r="D19" s="25" t="s">
        <v>28</v>
      </c>
      <c r="E19" s="3" t="s">
        <v>47</v>
      </c>
      <c r="F19" s="1">
        <v>4</v>
      </c>
      <c r="G19" s="1">
        <f>0.18*4</f>
        <v>0.72</v>
      </c>
      <c r="H19" s="34">
        <f>1.44*4</f>
        <v>5.76</v>
      </c>
      <c r="I19" s="32">
        <v>5.66</v>
      </c>
      <c r="J19" s="35">
        <v>74.150000000000006</v>
      </c>
      <c r="K19" s="38">
        <v>129.27000000000001</v>
      </c>
      <c r="L19" s="38">
        <v>60.797463060785276</v>
      </c>
    </row>
    <row r="20" spans="1:12" ht="35.25" customHeight="1">
      <c r="A20" s="1">
        <v>6</v>
      </c>
      <c r="B20" s="1"/>
      <c r="C20" s="28"/>
      <c r="D20" s="25"/>
      <c r="E20" s="31" t="s">
        <v>48</v>
      </c>
      <c r="F20" s="1">
        <v>4</v>
      </c>
      <c r="G20" s="28">
        <f>0.03*4</f>
        <v>0.12</v>
      </c>
      <c r="H20" s="1">
        <f>1.25*4</f>
        <v>5</v>
      </c>
      <c r="I20" s="33">
        <v>5.68</v>
      </c>
      <c r="J20" s="36">
        <v>70.72</v>
      </c>
      <c r="K20" s="39">
        <v>117</v>
      </c>
      <c r="L20" s="39">
        <v>61.168037497513424</v>
      </c>
    </row>
    <row r="21" spans="1:12">
      <c r="A21" s="30">
        <v>6</v>
      </c>
      <c r="B21" s="30"/>
      <c r="C21" s="30"/>
      <c r="D21" s="25"/>
      <c r="E21" s="30">
        <v>30</v>
      </c>
      <c r="F21" s="1">
        <v>4</v>
      </c>
      <c r="G21" s="30">
        <f>0.02*4</f>
        <v>0.08</v>
      </c>
      <c r="H21" s="30">
        <f>1*4</f>
        <v>4</v>
      </c>
      <c r="I21" s="32">
        <v>5.51</v>
      </c>
      <c r="J21" s="35">
        <v>47.63</v>
      </c>
      <c r="K21" s="38">
        <v>88.85</v>
      </c>
      <c r="L21" s="38">
        <v>17.991439373867177</v>
      </c>
    </row>
    <row r="22" spans="1:12">
      <c r="A22" s="28">
        <v>6</v>
      </c>
      <c r="B22" s="28"/>
      <c r="C22" s="28"/>
      <c r="D22" s="25"/>
      <c r="E22" s="28">
        <v>60</v>
      </c>
      <c r="F22" s="1">
        <v>4</v>
      </c>
      <c r="G22" s="28">
        <f>0.04*4</f>
        <v>0.16</v>
      </c>
      <c r="H22" s="1">
        <f>0.74*4</f>
        <v>2.96</v>
      </c>
      <c r="I22" s="33">
        <v>5.45</v>
      </c>
      <c r="J22" s="36">
        <v>17.72</v>
      </c>
      <c r="K22" s="39">
        <v>69.13</v>
      </c>
      <c r="L22" s="39">
        <v>4.2238076774244551</v>
      </c>
    </row>
    <row r="23" spans="1:12" ht="30" customHeight="1">
      <c r="A23" s="30">
        <v>6</v>
      </c>
      <c r="B23" s="30"/>
      <c r="C23" s="30"/>
      <c r="D23" s="25"/>
      <c r="E23" s="30">
        <v>90</v>
      </c>
      <c r="F23" s="1">
        <v>4</v>
      </c>
      <c r="G23" s="30">
        <f>0.01*4</f>
        <v>0.04</v>
      </c>
      <c r="H23" s="30">
        <f>0.52*4</f>
        <v>2.08</v>
      </c>
      <c r="I23" s="32">
        <v>5.19</v>
      </c>
      <c r="J23" s="35">
        <v>8.9700000000000006</v>
      </c>
      <c r="K23" s="38">
        <v>44.39</v>
      </c>
      <c r="L23" s="38">
        <v>0.76696743575218129</v>
      </c>
    </row>
    <row r="24" spans="1:12">
      <c r="A24" s="28">
        <v>6</v>
      </c>
      <c r="B24" s="28"/>
      <c r="C24" s="28"/>
      <c r="D24" s="25"/>
      <c r="E24" s="28">
        <v>120</v>
      </c>
      <c r="F24" s="1" t="s">
        <v>30</v>
      </c>
      <c r="G24" s="28">
        <v>0.02</v>
      </c>
      <c r="H24" s="1">
        <v>1.4</v>
      </c>
      <c r="I24" s="33">
        <v>5.04</v>
      </c>
      <c r="J24" s="36">
        <v>4.47</v>
      </c>
      <c r="K24" s="39">
        <v>33.409999999999997</v>
      </c>
      <c r="L24" s="39" t="s">
        <v>49</v>
      </c>
    </row>
    <row r="25" spans="1:12">
      <c r="A25" s="42">
        <v>6</v>
      </c>
      <c r="B25" s="42"/>
      <c r="C25" s="42"/>
      <c r="D25" s="46"/>
      <c r="E25" s="42">
        <v>150</v>
      </c>
      <c r="F25" s="1" t="s">
        <v>30</v>
      </c>
      <c r="G25" s="42">
        <v>0.01</v>
      </c>
      <c r="H25" s="42">
        <v>0.97</v>
      </c>
      <c r="I25" s="43">
        <v>4.99</v>
      </c>
      <c r="J25" s="47">
        <v>2.15</v>
      </c>
      <c r="K25" s="48">
        <v>20.86</v>
      </c>
      <c r="L25" s="48" t="s">
        <v>59</v>
      </c>
    </row>
    <row r="26" spans="1:12">
      <c r="A26" s="1">
        <v>6</v>
      </c>
      <c r="B26" s="49"/>
      <c r="C26" s="44"/>
      <c r="D26" s="45"/>
      <c r="E26" s="1">
        <v>180</v>
      </c>
      <c r="F26" s="1" t="s">
        <v>30</v>
      </c>
      <c r="G26" s="1">
        <v>0</v>
      </c>
      <c r="H26" s="1">
        <v>0.68</v>
      </c>
      <c r="I26" s="1">
        <v>4.8600000000000003</v>
      </c>
      <c r="J26" s="39" t="s">
        <v>49</v>
      </c>
      <c r="K26" s="29">
        <v>20.11</v>
      </c>
      <c r="L26" s="64" t="s">
        <v>59</v>
      </c>
    </row>
  </sheetData>
  <mergeCells count="6">
    <mergeCell ref="A17:D17"/>
    <mergeCell ref="B4:B10"/>
    <mergeCell ref="A1:C1"/>
    <mergeCell ref="A4:A10"/>
    <mergeCell ref="C4:C10"/>
    <mergeCell ref="C14:C15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A96C-0553-4763-875F-EF9291517155}">
  <dimension ref="A1:L26"/>
  <sheetViews>
    <sheetView topLeftCell="B12" workbookViewId="0">
      <selection activeCell="J17" sqref="J17"/>
    </sheetView>
  </sheetViews>
  <sheetFormatPr defaultRowHeight="15"/>
  <cols>
    <col min="1" max="1" width="40" customWidth="1"/>
    <col min="2" max="2" width="30.42578125" customWidth="1"/>
    <col min="3" max="5" width="28.5703125" customWidth="1"/>
    <col min="6" max="6" width="13.28515625" customWidth="1"/>
    <col min="7" max="7" width="15" customWidth="1"/>
    <col min="8" max="8" width="19" customWidth="1"/>
    <col min="9" max="9" width="9" customWidth="1"/>
    <col min="10" max="12" width="21" customWidth="1"/>
  </cols>
  <sheetData>
    <row r="1" spans="1:3">
      <c r="A1" s="68" t="s">
        <v>60</v>
      </c>
      <c r="B1" s="68"/>
      <c r="C1" s="68"/>
    </row>
    <row r="2" spans="1:3">
      <c r="A2" s="10" t="s">
        <v>1</v>
      </c>
      <c r="B2" s="11" t="s">
        <v>2</v>
      </c>
      <c r="C2" s="12" t="s">
        <v>3</v>
      </c>
    </row>
    <row r="3" spans="1:3" ht="56.25" customHeight="1">
      <c r="A3" s="16" t="s">
        <v>4</v>
      </c>
      <c r="B3" s="15" t="s">
        <v>5</v>
      </c>
      <c r="C3" s="9" t="s">
        <v>32</v>
      </c>
    </row>
    <row r="4" spans="1:3" ht="43.5" customHeight="1">
      <c r="A4" s="69" t="s">
        <v>33</v>
      </c>
      <c r="B4" s="70" t="s">
        <v>34</v>
      </c>
      <c r="C4" s="73" t="s">
        <v>35</v>
      </c>
    </row>
    <row r="5" spans="1:3">
      <c r="A5" s="69"/>
      <c r="B5" s="71"/>
      <c r="C5" s="74"/>
    </row>
    <row r="6" spans="1:3">
      <c r="A6" s="69"/>
      <c r="B6" s="71"/>
      <c r="C6" s="74"/>
    </row>
    <row r="7" spans="1:3">
      <c r="A7" s="69"/>
      <c r="B7" s="71"/>
      <c r="C7" s="74"/>
    </row>
    <row r="8" spans="1:3">
      <c r="A8" s="69"/>
      <c r="B8" s="71"/>
      <c r="C8" s="74"/>
    </row>
    <row r="9" spans="1:3">
      <c r="A9" s="69"/>
      <c r="B9" s="71"/>
      <c r="C9" s="74"/>
    </row>
    <row r="10" spans="1:3">
      <c r="A10" s="69"/>
      <c r="B10" s="72"/>
      <c r="C10" s="74"/>
    </row>
    <row r="11" spans="1:3" ht="81.75" customHeight="1">
      <c r="A11" s="6" t="s">
        <v>7</v>
      </c>
      <c r="B11" s="4" t="s">
        <v>8</v>
      </c>
      <c r="C11" s="7" t="s">
        <v>9</v>
      </c>
    </row>
    <row r="12" spans="1:3" ht="81.75" customHeight="1">
      <c r="A12" s="6" t="s">
        <v>10</v>
      </c>
      <c r="B12" s="4" t="s">
        <v>11</v>
      </c>
      <c r="C12" s="20" t="s">
        <v>12</v>
      </c>
    </row>
    <row r="13" spans="1:3" ht="29.25">
      <c r="A13" s="5" t="s">
        <v>13</v>
      </c>
      <c r="B13" s="18" t="s">
        <v>14</v>
      </c>
      <c r="C13" s="8"/>
    </row>
    <row r="14" spans="1:3" ht="29.25">
      <c r="A14" s="5" t="s">
        <v>36</v>
      </c>
      <c r="B14" s="3" t="s">
        <v>37</v>
      </c>
      <c r="C14" s="76" t="s">
        <v>38</v>
      </c>
    </row>
    <row r="15" spans="1:3" ht="29.25">
      <c r="A15" s="5" t="s">
        <v>39</v>
      </c>
      <c r="B15" s="3" t="s">
        <v>40</v>
      </c>
      <c r="C15" s="77"/>
    </row>
    <row r="16" spans="1:3">
      <c r="A16" s="5" t="s">
        <v>41</v>
      </c>
      <c r="B16" s="1" t="s">
        <v>42</v>
      </c>
      <c r="C16" s="8" t="s">
        <v>43</v>
      </c>
    </row>
    <row r="17" spans="1:12" ht="29.25" customHeight="1">
      <c r="A17" s="65">
        <v>45841</v>
      </c>
      <c r="B17" s="66"/>
      <c r="C17" s="66"/>
      <c r="D17" s="66"/>
      <c r="E17" s="17"/>
      <c r="F17" s="17"/>
      <c r="G17" s="17"/>
      <c r="H17" s="63"/>
      <c r="I17" s="63"/>
      <c r="J17" s="63" t="s">
        <v>44</v>
      </c>
      <c r="K17" s="23"/>
      <c r="L17" s="23" t="s">
        <v>61</v>
      </c>
    </row>
    <row r="18" spans="1:12" ht="32.25" customHeight="1">
      <c r="A18" s="14" t="s">
        <v>15</v>
      </c>
      <c r="B18" s="13" t="s">
        <v>16</v>
      </c>
      <c r="C18" s="13" t="s">
        <v>17</v>
      </c>
      <c r="D18" s="22" t="s">
        <v>18</v>
      </c>
      <c r="E18" s="22" t="s">
        <v>19</v>
      </c>
      <c r="F18" s="22" t="s">
        <v>20</v>
      </c>
      <c r="G18" s="22" t="s">
        <v>21</v>
      </c>
      <c r="H18" s="21" t="s">
        <v>22</v>
      </c>
      <c r="I18" s="21" t="s">
        <v>23</v>
      </c>
      <c r="J18" s="22" t="s">
        <v>24</v>
      </c>
      <c r="K18" s="24" t="s">
        <v>25</v>
      </c>
      <c r="L18" s="24" t="s">
        <v>26</v>
      </c>
    </row>
    <row r="19" spans="1:12" ht="29.25">
      <c r="A19" s="1">
        <v>5</v>
      </c>
      <c r="B19" s="1" t="s">
        <v>62</v>
      </c>
      <c r="C19" s="1" t="s">
        <v>27</v>
      </c>
      <c r="D19" s="25" t="s">
        <v>28</v>
      </c>
      <c r="E19" s="3" t="s">
        <v>47</v>
      </c>
      <c r="F19" s="1">
        <v>4</v>
      </c>
      <c r="G19" s="1">
        <f>(0.03*Table3791317[[#This Row],[Dilution]])</f>
        <v>0.12</v>
      </c>
      <c r="H19" s="30">
        <f t="shared" ref="H19:H25" si="0">(1.18*4)</f>
        <v>4.72</v>
      </c>
      <c r="I19" s="32">
        <v>5.64</v>
      </c>
      <c r="J19" s="35">
        <v>96.58</v>
      </c>
      <c r="K19" s="38">
        <v>94.65</v>
      </c>
      <c r="L19" s="38">
        <v>73.145062572180649</v>
      </c>
    </row>
    <row r="20" spans="1:12" ht="35.25" customHeight="1">
      <c r="A20" s="1">
        <v>5</v>
      </c>
      <c r="B20" s="1"/>
      <c r="C20" s="28"/>
      <c r="D20" s="25"/>
      <c r="E20" s="31" t="s">
        <v>48</v>
      </c>
      <c r="F20" s="1">
        <v>4</v>
      </c>
      <c r="G20" s="28">
        <f>0.02*4</f>
        <v>0.08</v>
      </c>
      <c r="H20" s="1">
        <f>1.12*4</f>
        <v>4.4800000000000004</v>
      </c>
      <c r="I20" s="33">
        <v>5.62</v>
      </c>
      <c r="J20" s="36">
        <v>93.58</v>
      </c>
      <c r="K20" s="39">
        <v>97.14</v>
      </c>
      <c r="L20" s="39">
        <v>70.201083540212707</v>
      </c>
    </row>
    <row r="21" spans="1:12">
      <c r="A21" s="30">
        <v>5</v>
      </c>
      <c r="B21" s="30"/>
      <c r="C21" s="30"/>
      <c r="D21" s="25"/>
      <c r="E21" s="30">
        <v>30</v>
      </c>
      <c r="F21" s="1">
        <v>4</v>
      </c>
      <c r="G21" s="30">
        <f>0.04*4</f>
        <v>0.16</v>
      </c>
      <c r="H21" s="30">
        <f>0.83*4</f>
        <v>3.32</v>
      </c>
      <c r="I21" s="32">
        <v>5.52</v>
      </c>
      <c r="J21" s="35">
        <v>52.58</v>
      </c>
      <c r="K21" s="38">
        <v>72.81</v>
      </c>
      <c r="L21" s="38">
        <v>27.066152943395053</v>
      </c>
    </row>
    <row r="22" spans="1:12">
      <c r="A22" s="28">
        <v>5</v>
      </c>
      <c r="B22" s="28"/>
      <c r="C22" s="28"/>
      <c r="D22" s="25"/>
      <c r="E22" s="28">
        <v>60</v>
      </c>
      <c r="F22" s="1">
        <v>4</v>
      </c>
      <c r="G22" s="28">
        <f>0.01*4</f>
        <v>0.04</v>
      </c>
      <c r="H22" s="1">
        <f>0.64*4</f>
        <v>2.56</v>
      </c>
      <c r="I22" s="33">
        <v>5.34</v>
      </c>
      <c r="J22" s="36">
        <v>36.479999999999997</v>
      </c>
      <c r="K22" s="39">
        <v>72.59</v>
      </c>
      <c r="L22" s="39">
        <v>10.312302875794966</v>
      </c>
    </row>
    <row r="23" spans="1:12" ht="30" customHeight="1">
      <c r="A23" s="30">
        <v>5</v>
      </c>
      <c r="B23" s="30"/>
      <c r="C23" s="30"/>
      <c r="D23" s="25"/>
      <c r="E23" s="30">
        <v>90</v>
      </c>
      <c r="F23" s="1">
        <v>4</v>
      </c>
      <c r="G23" s="30">
        <f>0.01*4</f>
        <v>0.04</v>
      </c>
      <c r="H23" s="30">
        <f>0.44*4</f>
        <v>1.76</v>
      </c>
      <c r="I23" s="32">
        <v>5.21</v>
      </c>
      <c r="J23" s="35">
        <v>20.27</v>
      </c>
      <c r="K23" s="38">
        <v>55.42</v>
      </c>
      <c r="L23" s="38">
        <v>3.7466973874567295</v>
      </c>
    </row>
    <row r="24" spans="1:12">
      <c r="A24" s="28">
        <v>5</v>
      </c>
      <c r="B24" s="28"/>
      <c r="C24" s="28"/>
      <c r="D24" s="25"/>
      <c r="E24" s="28">
        <v>120</v>
      </c>
      <c r="F24" s="1" t="s">
        <v>30</v>
      </c>
      <c r="G24" s="28">
        <v>0.03</v>
      </c>
      <c r="H24" s="1">
        <v>1.25</v>
      </c>
      <c r="I24" s="33">
        <v>5.13</v>
      </c>
      <c r="J24" s="36">
        <v>16.16</v>
      </c>
      <c r="K24" s="39">
        <v>43.2</v>
      </c>
      <c r="L24" s="39">
        <v>1.3476147311634041</v>
      </c>
    </row>
    <row r="25" spans="1:12">
      <c r="A25" s="30">
        <v>5</v>
      </c>
      <c r="B25" s="30"/>
      <c r="C25" s="30"/>
      <c r="D25" s="25"/>
      <c r="E25" s="30">
        <v>150</v>
      </c>
      <c r="F25" s="1" t="s">
        <v>30</v>
      </c>
      <c r="G25" s="30">
        <v>0.01</v>
      </c>
      <c r="H25" s="30">
        <v>0.86</v>
      </c>
      <c r="I25" s="32">
        <v>5.08</v>
      </c>
      <c r="J25" s="27">
        <v>5.67</v>
      </c>
      <c r="K25" s="26">
        <v>35.81</v>
      </c>
      <c r="L25" s="38">
        <v>0.44070083245943686</v>
      </c>
    </row>
    <row r="26" spans="1:12">
      <c r="A26" s="41">
        <v>5</v>
      </c>
      <c r="B26" s="1"/>
      <c r="C26" s="1"/>
      <c r="D26" s="25"/>
      <c r="E26" s="1">
        <v>180</v>
      </c>
      <c r="F26" s="1" t="s">
        <v>30</v>
      </c>
      <c r="G26" s="1">
        <v>0.01</v>
      </c>
      <c r="H26" s="1">
        <v>0.62</v>
      </c>
      <c r="I26" s="33">
        <v>5.16</v>
      </c>
      <c r="J26" s="40">
        <v>1.79</v>
      </c>
      <c r="K26" s="29">
        <v>30.89</v>
      </c>
      <c r="L26" s="39" t="s">
        <v>49</v>
      </c>
    </row>
  </sheetData>
  <mergeCells count="6">
    <mergeCell ref="A1:C1"/>
    <mergeCell ref="A4:A10"/>
    <mergeCell ref="C4:C10"/>
    <mergeCell ref="C14:C15"/>
    <mergeCell ref="A17:D17"/>
    <mergeCell ref="B4:B10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E631F-2E54-4390-ABA1-15A2ED3C6CFB}">
  <dimension ref="A1:L26"/>
  <sheetViews>
    <sheetView topLeftCell="A13" workbookViewId="0">
      <selection activeCell="A19" sqref="A19"/>
    </sheetView>
  </sheetViews>
  <sheetFormatPr defaultRowHeight="15"/>
  <cols>
    <col min="1" max="1" width="40" customWidth="1"/>
    <col min="2" max="2" width="30.42578125" customWidth="1"/>
    <col min="3" max="5" width="28.5703125" customWidth="1"/>
    <col min="6" max="6" width="13.28515625" customWidth="1"/>
    <col min="7" max="7" width="15" customWidth="1"/>
    <col min="8" max="8" width="19" customWidth="1"/>
    <col min="9" max="9" width="9" customWidth="1"/>
    <col min="10" max="12" width="21" customWidth="1"/>
  </cols>
  <sheetData>
    <row r="1" spans="1:3">
      <c r="A1" s="68" t="s">
        <v>63</v>
      </c>
      <c r="B1" s="68"/>
      <c r="C1" s="68"/>
    </row>
    <row r="2" spans="1:3">
      <c r="A2" s="10" t="s">
        <v>1</v>
      </c>
      <c r="B2" s="11" t="s">
        <v>2</v>
      </c>
      <c r="C2" s="12" t="s">
        <v>3</v>
      </c>
    </row>
    <row r="3" spans="1:3" ht="56.25" customHeight="1">
      <c r="A3" s="16" t="s">
        <v>4</v>
      </c>
      <c r="B3" s="15" t="s">
        <v>5</v>
      </c>
      <c r="C3" s="9" t="s">
        <v>64</v>
      </c>
    </row>
    <row r="4" spans="1:3" ht="43.5" customHeight="1">
      <c r="A4" s="69" t="s">
        <v>65</v>
      </c>
      <c r="B4" s="19" t="s">
        <v>66</v>
      </c>
      <c r="C4" s="73" t="s">
        <v>67</v>
      </c>
    </row>
    <row r="5" spans="1:3">
      <c r="A5" s="69"/>
      <c r="B5" s="2" t="s">
        <v>68</v>
      </c>
      <c r="C5" s="74"/>
    </row>
    <row r="6" spans="1:3">
      <c r="A6" s="69"/>
      <c r="B6" s="2" t="s">
        <v>69</v>
      </c>
      <c r="C6" s="74"/>
    </row>
    <row r="7" spans="1:3">
      <c r="A7" s="69"/>
      <c r="B7" s="2" t="s">
        <v>70</v>
      </c>
      <c r="C7" s="74"/>
    </row>
    <row r="8" spans="1:3">
      <c r="A8" s="69"/>
      <c r="B8" s="2" t="s">
        <v>71</v>
      </c>
      <c r="C8" s="74"/>
    </row>
    <row r="9" spans="1:3">
      <c r="A9" s="69"/>
      <c r="B9" s="2" t="s">
        <v>72</v>
      </c>
      <c r="C9" s="74"/>
    </row>
    <row r="10" spans="1:3">
      <c r="A10" s="69"/>
      <c r="B10" s="2" t="s">
        <v>73</v>
      </c>
      <c r="C10" s="74"/>
    </row>
    <row r="11" spans="1:3" ht="81.75" customHeight="1">
      <c r="A11" s="6" t="s">
        <v>7</v>
      </c>
      <c r="B11" s="4" t="s">
        <v>8</v>
      </c>
      <c r="C11" s="7" t="s">
        <v>9</v>
      </c>
    </row>
    <row r="12" spans="1:3" ht="81.75" customHeight="1">
      <c r="A12" s="6" t="s">
        <v>10</v>
      </c>
      <c r="B12" s="4" t="s">
        <v>11</v>
      </c>
      <c r="C12" s="20" t="s">
        <v>12</v>
      </c>
    </row>
    <row r="13" spans="1:3" ht="29.25">
      <c r="A13" s="5" t="s">
        <v>13</v>
      </c>
      <c r="B13" s="18" t="s">
        <v>14</v>
      </c>
      <c r="C13" s="8"/>
    </row>
    <row r="14" spans="1:3">
      <c r="A14" s="5" t="s">
        <v>36</v>
      </c>
      <c r="B14" s="3" t="s">
        <v>37</v>
      </c>
      <c r="C14" s="76" t="s">
        <v>38</v>
      </c>
    </row>
    <row r="15" spans="1:3">
      <c r="A15" s="5" t="s">
        <v>39</v>
      </c>
      <c r="B15" s="3" t="s">
        <v>40</v>
      </c>
      <c r="C15" s="77"/>
    </row>
    <row r="16" spans="1:3">
      <c r="A16" s="5" t="s">
        <v>41</v>
      </c>
      <c r="B16" s="1" t="s">
        <v>42</v>
      </c>
      <c r="C16" s="8" t="s">
        <v>74</v>
      </c>
    </row>
    <row r="17" spans="1:12" ht="29.25" customHeight="1">
      <c r="A17" s="65">
        <v>45841</v>
      </c>
      <c r="B17" s="66"/>
      <c r="C17" s="66"/>
      <c r="D17" s="66"/>
      <c r="E17" s="17"/>
      <c r="F17" s="17"/>
      <c r="G17" s="17"/>
      <c r="H17" s="67"/>
      <c r="I17" s="67"/>
      <c r="J17" s="67"/>
      <c r="K17" s="23"/>
      <c r="L17" s="23"/>
    </row>
    <row r="18" spans="1:12" ht="32.25" customHeight="1">
      <c r="A18" s="14" t="s">
        <v>15</v>
      </c>
      <c r="B18" s="13" t="s">
        <v>75</v>
      </c>
      <c r="C18" s="13" t="s">
        <v>17</v>
      </c>
      <c r="D18" s="22" t="s">
        <v>18</v>
      </c>
      <c r="E18" s="22" t="s">
        <v>19</v>
      </c>
      <c r="F18" s="22" t="s">
        <v>20</v>
      </c>
      <c r="G18" s="22" t="s">
        <v>21</v>
      </c>
      <c r="H18" s="21" t="s">
        <v>22</v>
      </c>
      <c r="I18" s="21" t="s">
        <v>23</v>
      </c>
      <c r="J18" s="22" t="s">
        <v>24</v>
      </c>
      <c r="K18" s="24" t="s">
        <v>25</v>
      </c>
      <c r="L18" s="24" t="s">
        <v>26</v>
      </c>
    </row>
    <row r="19" spans="1:12" ht="29.25">
      <c r="A19" s="1">
        <v>2</v>
      </c>
      <c r="B19" s="1" t="s">
        <v>76</v>
      </c>
      <c r="C19" s="1" t="s">
        <v>27</v>
      </c>
      <c r="D19" s="25" t="s">
        <v>28</v>
      </c>
      <c r="E19" s="3" t="s">
        <v>47</v>
      </c>
      <c r="F19" s="1" t="s">
        <v>30</v>
      </c>
      <c r="G19" s="1">
        <v>0.19</v>
      </c>
      <c r="H19" s="30">
        <v>1.81</v>
      </c>
      <c r="I19" s="32">
        <v>5.73</v>
      </c>
      <c r="J19" s="35">
        <v>90.05</v>
      </c>
      <c r="K19" s="38">
        <v>94.41</v>
      </c>
      <c r="L19" s="38">
        <v>88.317107304265647</v>
      </c>
    </row>
    <row r="20" spans="1:12" ht="35.25" customHeight="1">
      <c r="A20" s="1">
        <v>2</v>
      </c>
      <c r="B20" s="1"/>
      <c r="C20" s="28"/>
      <c r="D20" s="25"/>
      <c r="E20" s="31" t="s">
        <v>48</v>
      </c>
      <c r="F20" s="1" t="s">
        <v>30</v>
      </c>
      <c r="G20" s="28">
        <v>0.2</v>
      </c>
      <c r="H20" s="1">
        <v>1.78</v>
      </c>
      <c r="I20" s="33">
        <v>5.72</v>
      </c>
      <c r="J20" s="36">
        <v>111.6</v>
      </c>
      <c r="K20" s="39">
        <v>96.92</v>
      </c>
      <c r="L20" s="39">
        <v>89.069398535817015</v>
      </c>
    </row>
    <row r="21" spans="1:12">
      <c r="A21" s="30">
        <v>2</v>
      </c>
      <c r="B21" s="30"/>
      <c r="C21" s="30"/>
      <c r="D21" s="25"/>
      <c r="E21" s="30">
        <v>30</v>
      </c>
      <c r="F21" s="1" t="s">
        <v>30</v>
      </c>
      <c r="G21" s="30">
        <v>0.15</v>
      </c>
      <c r="H21" s="30">
        <v>1.24</v>
      </c>
      <c r="I21" s="32">
        <v>5.58</v>
      </c>
      <c r="J21" s="35">
        <v>46.06</v>
      </c>
      <c r="K21" s="38">
        <v>73.45</v>
      </c>
      <c r="L21" s="38">
        <v>41.069672702226946</v>
      </c>
    </row>
    <row r="22" spans="1:12">
      <c r="A22" s="28">
        <v>2</v>
      </c>
      <c r="B22" s="28"/>
      <c r="C22" s="28"/>
      <c r="D22" s="25"/>
      <c r="E22" s="28">
        <v>60</v>
      </c>
      <c r="F22" s="1" t="s">
        <v>30</v>
      </c>
      <c r="G22" s="28">
        <v>0.08</v>
      </c>
      <c r="H22" s="1">
        <v>0.83</v>
      </c>
      <c r="I22" s="33">
        <v>5.59</v>
      </c>
      <c r="J22" s="36">
        <v>39.15</v>
      </c>
      <c r="K22" s="39">
        <v>64.569999999999993</v>
      </c>
      <c r="L22" s="39">
        <v>23.799896128134858</v>
      </c>
    </row>
    <row r="23" spans="1:12" ht="30" customHeight="1">
      <c r="A23" s="30">
        <v>2</v>
      </c>
      <c r="B23" s="30"/>
      <c r="C23" s="30"/>
      <c r="D23" s="25"/>
      <c r="E23" s="30">
        <v>90</v>
      </c>
      <c r="F23" s="1" t="s">
        <v>30</v>
      </c>
      <c r="G23" s="30">
        <v>0.05</v>
      </c>
      <c r="H23" s="30">
        <v>0.54</v>
      </c>
      <c r="I23" s="32">
        <v>5.57</v>
      </c>
      <c r="J23" s="35">
        <v>34.71</v>
      </c>
      <c r="K23" s="38">
        <v>61.67</v>
      </c>
      <c r="L23" s="38">
        <v>16.956568077875016</v>
      </c>
    </row>
    <row r="24" spans="1:12">
      <c r="A24" s="28">
        <v>2</v>
      </c>
      <c r="B24" s="28"/>
      <c r="C24" s="28"/>
      <c r="D24" s="25"/>
      <c r="E24" s="28">
        <v>120</v>
      </c>
      <c r="F24" s="1" t="s">
        <v>30</v>
      </c>
      <c r="G24" s="28">
        <v>0.04</v>
      </c>
      <c r="H24" s="1">
        <v>0.36</v>
      </c>
      <c r="I24" s="33">
        <v>5.57</v>
      </c>
      <c r="J24" s="36">
        <v>29.96</v>
      </c>
      <c r="K24" s="39">
        <v>54.15</v>
      </c>
      <c r="L24" s="39">
        <v>13.217130882089752</v>
      </c>
    </row>
    <row r="25" spans="1:12">
      <c r="A25" s="30">
        <v>2</v>
      </c>
      <c r="B25" s="30"/>
      <c r="C25" s="30"/>
      <c r="D25" s="25"/>
      <c r="E25" s="30">
        <v>150</v>
      </c>
      <c r="F25" s="1" t="s">
        <v>30</v>
      </c>
      <c r="G25" s="30">
        <v>0.03</v>
      </c>
      <c r="H25" s="30">
        <v>0.23</v>
      </c>
      <c r="I25" s="32">
        <v>5.44</v>
      </c>
      <c r="J25" s="35">
        <v>25.61</v>
      </c>
      <c r="K25" s="38">
        <v>52.1</v>
      </c>
      <c r="L25" s="38">
        <v>11.392966012295011</v>
      </c>
    </row>
    <row r="26" spans="1:12">
      <c r="A26" s="1">
        <v>2</v>
      </c>
      <c r="B26" s="1"/>
      <c r="C26" s="1"/>
      <c r="D26" s="25"/>
      <c r="E26" s="1">
        <v>180</v>
      </c>
      <c r="F26" s="1" t="s">
        <v>30</v>
      </c>
      <c r="G26" s="1">
        <v>0.02</v>
      </c>
      <c r="H26" s="1">
        <v>0.15</v>
      </c>
      <c r="I26" s="33">
        <v>5.48</v>
      </c>
      <c r="J26" s="36">
        <v>22.48</v>
      </c>
      <c r="K26" s="39">
        <v>49.67</v>
      </c>
      <c r="L26" s="39">
        <v>10.473364401879394</v>
      </c>
    </row>
  </sheetData>
  <mergeCells count="6">
    <mergeCell ref="H17:J17"/>
    <mergeCell ref="A1:C1"/>
    <mergeCell ref="A4:A10"/>
    <mergeCell ref="C4:C10"/>
    <mergeCell ref="C14:C15"/>
    <mergeCell ref="A17:D17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2025-05-21T18:19:04Z</dcterms:created>
  <dcterms:modified xsi:type="dcterms:W3CDTF">2025-07-23T16:03:25Z</dcterms:modified>
  <cp:category/>
  <cp:contentStatus/>
</cp:coreProperties>
</file>