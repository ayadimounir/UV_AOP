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unir\Desktop\R projects\K rates rayox\data\"/>
    </mc:Choice>
  </mc:AlternateContent>
  <xr:revisionPtr revIDLastSave="0" documentId="13_ncr:1_{8256970C-0488-4232-AA75-6E1839C89B6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Merg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6" i="1" l="1"/>
  <c r="V130" i="1"/>
  <c r="V140" i="1"/>
  <c r="V139" i="1"/>
  <c r="V138" i="1"/>
  <c r="V137" i="1"/>
  <c r="V134" i="1"/>
  <c r="V133" i="1"/>
  <c r="V132" i="1"/>
  <c r="V131" i="1"/>
  <c r="AB159" i="1"/>
  <c r="V159" i="1"/>
  <c r="S159" i="1"/>
  <c r="O159" i="1"/>
  <c r="M159" i="1"/>
  <c r="AB153" i="1"/>
  <c r="V153" i="1"/>
  <c r="S153" i="1"/>
  <c r="O153" i="1"/>
  <c r="M153" i="1"/>
  <c r="AB147" i="1"/>
  <c r="V147" i="1"/>
  <c r="S147" i="1"/>
  <c r="O147" i="1"/>
  <c r="M147" i="1"/>
  <c r="AB141" i="1"/>
  <c r="V141" i="1"/>
  <c r="S141" i="1"/>
  <c r="O141" i="1"/>
  <c r="M141" i="1"/>
  <c r="AB135" i="1"/>
  <c r="V135" i="1"/>
  <c r="S135" i="1"/>
  <c r="O135" i="1"/>
  <c r="M135" i="1"/>
  <c r="AB129" i="1"/>
  <c r="V129" i="1"/>
  <c r="S129" i="1"/>
  <c r="O129" i="1"/>
  <c r="M129" i="1"/>
  <c r="AB123" i="1"/>
  <c r="V123" i="1"/>
  <c r="S123" i="1"/>
  <c r="O123" i="1"/>
  <c r="M123" i="1"/>
  <c r="AB117" i="1"/>
  <c r="V117" i="1"/>
  <c r="S117" i="1"/>
  <c r="O117" i="1"/>
  <c r="M117" i="1"/>
  <c r="AB152" i="1"/>
  <c r="V152" i="1"/>
  <c r="S152" i="1"/>
  <c r="O152" i="1"/>
  <c r="M152" i="1"/>
  <c r="AB151" i="1"/>
  <c r="V151" i="1"/>
  <c r="S151" i="1"/>
  <c r="O151" i="1"/>
  <c r="M151" i="1"/>
  <c r="AB150" i="1"/>
  <c r="V150" i="1"/>
  <c r="S150" i="1"/>
  <c r="O150" i="1"/>
  <c r="M150" i="1"/>
  <c r="AB149" i="1"/>
  <c r="V149" i="1"/>
  <c r="S149" i="1"/>
  <c r="O149" i="1"/>
  <c r="M149" i="1"/>
  <c r="AB148" i="1"/>
  <c r="V148" i="1"/>
  <c r="S148" i="1"/>
  <c r="O148" i="1"/>
  <c r="M148" i="1"/>
  <c r="AB140" i="1"/>
  <c r="S140" i="1"/>
  <c r="O140" i="1"/>
  <c r="M140" i="1"/>
  <c r="AB139" i="1"/>
  <c r="S139" i="1"/>
  <c r="O139" i="1"/>
  <c r="M139" i="1"/>
  <c r="AB138" i="1"/>
  <c r="S138" i="1"/>
  <c r="O138" i="1"/>
  <c r="M138" i="1"/>
  <c r="AB137" i="1"/>
  <c r="S137" i="1"/>
  <c r="O137" i="1"/>
  <c r="M137" i="1"/>
  <c r="AB136" i="1"/>
  <c r="S136" i="1"/>
  <c r="O136" i="1"/>
  <c r="M136" i="1"/>
  <c r="AB128" i="1"/>
  <c r="V128" i="1"/>
  <c r="S128" i="1"/>
  <c r="O128" i="1"/>
  <c r="M128" i="1"/>
  <c r="AB127" i="1"/>
  <c r="V127" i="1"/>
  <c r="S127" i="1"/>
  <c r="O127" i="1"/>
  <c r="M127" i="1"/>
  <c r="AB126" i="1"/>
  <c r="V126" i="1"/>
  <c r="S126" i="1"/>
  <c r="O126" i="1"/>
  <c r="M126" i="1"/>
  <c r="AB125" i="1"/>
  <c r="V125" i="1"/>
  <c r="S125" i="1"/>
  <c r="O125" i="1"/>
  <c r="M125" i="1"/>
  <c r="AB124" i="1"/>
  <c r="V124" i="1"/>
  <c r="S124" i="1"/>
  <c r="O124" i="1"/>
  <c r="M124" i="1"/>
  <c r="AB116" i="1"/>
  <c r="V116" i="1"/>
  <c r="S116" i="1"/>
  <c r="O116" i="1"/>
  <c r="M116" i="1"/>
  <c r="AB115" i="1"/>
  <c r="V115" i="1"/>
  <c r="S115" i="1"/>
  <c r="O115" i="1"/>
  <c r="M115" i="1"/>
  <c r="AB114" i="1"/>
  <c r="V114" i="1"/>
  <c r="S114" i="1"/>
  <c r="O114" i="1"/>
  <c r="M114" i="1"/>
  <c r="AB113" i="1"/>
  <c r="V113" i="1"/>
  <c r="S113" i="1"/>
  <c r="O113" i="1"/>
  <c r="M113" i="1"/>
  <c r="AB112" i="1"/>
  <c r="V112" i="1"/>
  <c r="S112" i="1"/>
  <c r="O112" i="1"/>
  <c r="M112" i="1"/>
  <c r="M37" i="1"/>
  <c r="M38" i="1"/>
  <c r="M39" i="1"/>
  <c r="M40" i="1"/>
  <c r="M41" i="1"/>
  <c r="M42" i="1"/>
  <c r="M54" i="1"/>
  <c r="M55" i="1"/>
  <c r="M56" i="1"/>
  <c r="M57" i="1"/>
  <c r="M58" i="1"/>
  <c r="M59" i="1"/>
  <c r="M60" i="1"/>
  <c r="M71" i="1"/>
  <c r="M72" i="1"/>
  <c r="M73" i="1"/>
  <c r="M74" i="1"/>
  <c r="M75" i="1"/>
  <c r="M76" i="1"/>
  <c r="M77" i="1"/>
  <c r="M88" i="1"/>
  <c r="M89" i="1"/>
  <c r="M90" i="1"/>
  <c r="M91" i="1"/>
  <c r="M92" i="1"/>
  <c r="M93" i="1"/>
  <c r="M94" i="1"/>
  <c r="M19" i="1"/>
  <c r="M20" i="1"/>
  <c r="M21" i="1"/>
  <c r="M22" i="1"/>
  <c r="M23" i="1"/>
  <c r="M24" i="1"/>
  <c r="M25" i="1"/>
  <c r="M9" i="1"/>
  <c r="M10" i="1"/>
  <c r="M11" i="1"/>
  <c r="M12" i="1"/>
  <c r="M13" i="1"/>
  <c r="M43" i="1"/>
  <c r="M44" i="1"/>
  <c r="M45" i="1"/>
  <c r="M46" i="1"/>
  <c r="M47" i="1"/>
  <c r="M48" i="1"/>
  <c r="M61" i="1"/>
  <c r="M62" i="1"/>
  <c r="M63" i="1"/>
  <c r="M64" i="1"/>
  <c r="M65" i="1"/>
  <c r="M78" i="1"/>
  <c r="M79" i="1"/>
  <c r="M80" i="1"/>
  <c r="M81" i="1"/>
  <c r="M82" i="1"/>
  <c r="M95" i="1"/>
  <c r="M96" i="1"/>
  <c r="M97" i="1"/>
  <c r="M98" i="1"/>
  <c r="M99" i="1"/>
  <c r="M26" i="1"/>
  <c r="M27" i="1"/>
  <c r="M28" i="1"/>
  <c r="M29" i="1"/>
  <c r="M30" i="1"/>
  <c r="M14" i="1"/>
  <c r="M15" i="1"/>
  <c r="M16" i="1"/>
  <c r="M17" i="1"/>
  <c r="M18" i="1"/>
  <c r="M49" i="1"/>
  <c r="M50" i="1"/>
  <c r="M51" i="1"/>
  <c r="M52" i="1"/>
  <c r="M53" i="1"/>
  <c r="M66" i="1"/>
  <c r="M67" i="1"/>
  <c r="M68" i="1"/>
  <c r="M69" i="1"/>
  <c r="M70" i="1"/>
  <c r="M83" i="1"/>
  <c r="M84" i="1"/>
  <c r="M85" i="1"/>
  <c r="M86" i="1"/>
  <c r="M87" i="1"/>
  <c r="M100" i="1"/>
  <c r="M101" i="1"/>
  <c r="M102" i="1"/>
  <c r="M103" i="1"/>
  <c r="M104" i="1"/>
  <c r="M31" i="1"/>
  <c r="M32" i="1"/>
  <c r="M33" i="1"/>
  <c r="M34" i="1"/>
  <c r="M35" i="1"/>
  <c r="M106" i="1"/>
  <c r="M107" i="1"/>
  <c r="M108" i="1"/>
  <c r="M109" i="1"/>
  <c r="M110" i="1"/>
  <c r="M118" i="1"/>
  <c r="M119" i="1"/>
  <c r="M120" i="1"/>
  <c r="M121" i="1"/>
  <c r="M122" i="1"/>
  <c r="M130" i="1"/>
  <c r="M131" i="1"/>
  <c r="M132" i="1"/>
  <c r="M133" i="1"/>
  <c r="M134" i="1"/>
  <c r="M142" i="1"/>
  <c r="M143" i="1"/>
  <c r="M144" i="1"/>
  <c r="M145" i="1"/>
  <c r="M146" i="1"/>
  <c r="M154" i="1"/>
  <c r="M155" i="1"/>
  <c r="M156" i="1"/>
  <c r="M157" i="1"/>
  <c r="M158" i="1"/>
  <c r="M160" i="1"/>
  <c r="M161" i="1"/>
  <c r="M162" i="1"/>
  <c r="M163" i="1"/>
  <c r="M164" i="1"/>
  <c r="M36" i="1"/>
  <c r="O37" i="1"/>
  <c r="O38" i="1"/>
  <c r="O39" i="1"/>
  <c r="O40" i="1"/>
  <c r="O41" i="1"/>
  <c r="O42" i="1"/>
  <c r="O54" i="1"/>
  <c r="O55" i="1"/>
  <c r="O56" i="1"/>
  <c r="O57" i="1"/>
  <c r="O58" i="1"/>
  <c r="O59" i="1"/>
  <c r="O60" i="1"/>
  <c r="O71" i="1"/>
  <c r="O72" i="1"/>
  <c r="O73" i="1"/>
  <c r="O74" i="1"/>
  <c r="O75" i="1"/>
  <c r="O76" i="1"/>
  <c r="O77" i="1"/>
  <c r="O88" i="1"/>
  <c r="O89" i="1"/>
  <c r="O90" i="1"/>
  <c r="O91" i="1"/>
  <c r="O92" i="1"/>
  <c r="O93" i="1"/>
  <c r="O94" i="1"/>
  <c r="O19" i="1"/>
  <c r="O20" i="1"/>
  <c r="O21" i="1"/>
  <c r="O22" i="1"/>
  <c r="O23" i="1"/>
  <c r="O24" i="1"/>
  <c r="O25" i="1"/>
  <c r="O9" i="1"/>
  <c r="O10" i="1"/>
  <c r="O11" i="1"/>
  <c r="O12" i="1"/>
  <c r="O13" i="1"/>
  <c r="O43" i="1"/>
  <c r="O44" i="1"/>
  <c r="O45" i="1"/>
  <c r="O46" i="1"/>
  <c r="O47" i="1"/>
  <c r="O48" i="1"/>
  <c r="O61" i="1"/>
  <c r="O62" i="1"/>
  <c r="O63" i="1"/>
  <c r="O64" i="1"/>
  <c r="O65" i="1"/>
  <c r="O78" i="1"/>
  <c r="O79" i="1"/>
  <c r="O80" i="1"/>
  <c r="O81" i="1"/>
  <c r="O82" i="1"/>
  <c r="O95" i="1"/>
  <c r="O96" i="1"/>
  <c r="O97" i="1"/>
  <c r="O98" i="1"/>
  <c r="O99" i="1"/>
  <c r="O26" i="1"/>
  <c r="O27" i="1"/>
  <c r="O28" i="1"/>
  <c r="O29" i="1"/>
  <c r="O30" i="1"/>
  <c r="O14" i="1"/>
  <c r="O15" i="1"/>
  <c r="O16" i="1"/>
  <c r="O17" i="1"/>
  <c r="O18" i="1"/>
  <c r="O49" i="1"/>
  <c r="O50" i="1"/>
  <c r="O51" i="1"/>
  <c r="O52" i="1"/>
  <c r="O53" i="1"/>
  <c r="O66" i="1"/>
  <c r="O67" i="1"/>
  <c r="O68" i="1"/>
  <c r="O69" i="1"/>
  <c r="O70" i="1"/>
  <c r="O83" i="1"/>
  <c r="O84" i="1"/>
  <c r="O85" i="1"/>
  <c r="O86" i="1"/>
  <c r="O87" i="1"/>
  <c r="O100" i="1"/>
  <c r="O101" i="1"/>
  <c r="O102" i="1"/>
  <c r="O103" i="1"/>
  <c r="O104" i="1"/>
  <c r="O31" i="1"/>
  <c r="O32" i="1"/>
  <c r="O33" i="1"/>
  <c r="O34" i="1"/>
  <c r="O35" i="1"/>
  <c r="O106" i="1"/>
  <c r="O107" i="1"/>
  <c r="O108" i="1"/>
  <c r="O109" i="1"/>
  <c r="O110" i="1"/>
  <c r="O118" i="1"/>
  <c r="O119" i="1"/>
  <c r="O120" i="1"/>
  <c r="O121" i="1"/>
  <c r="O122" i="1"/>
  <c r="O130" i="1"/>
  <c r="O131" i="1"/>
  <c r="O132" i="1"/>
  <c r="O133" i="1"/>
  <c r="O134" i="1"/>
  <c r="O142" i="1"/>
  <c r="O143" i="1"/>
  <c r="O144" i="1"/>
  <c r="O145" i="1"/>
  <c r="O146" i="1"/>
  <c r="O154" i="1"/>
  <c r="O155" i="1"/>
  <c r="O156" i="1"/>
  <c r="O157" i="1"/>
  <c r="O158" i="1"/>
  <c r="O160" i="1"/>
  <c r="O161" i="1"/>
  <c r="O162" i="1"/>
  <c r="O163" i="1"/>
  <c r="O164" i="1"/>
  <c r="O36" i="1"/>
  <c r="S3" i="1"/>
  <c r="S4" i="1"/>
  <c r="S5" i="1"/>
  <c r="S6" i="1"/>
  <c r="S7" i="1"/>
  <c r="S8" i="1"/>
  <c r="S36" i="1"/>
  <c r="S37" i="1"/>
  <c r="S38" i="1"/>
  <c r="S39" i="1"/>
  <c r="S40" i="1"/>
  <c r="S41" i="1"/>
  <c r="S42" i="1"/>
  <c r="S54" i="1"/>
  <c r="S55" i="1"/>
  <c r="S56" i="1"/>
  <c r="S57" i="1"/>
  <c r="S58" i="1"/>
  <c r="S59" i="1"/>
  <c r="S60" i="1"/>
  <c r="S71" i="1"/>
  <c r="S72" i="1"/>
  <c r="S73" i="1"/>
  <c r="S74" i="1"/>
  <c r="S75" i="1"/>
  <c r="S76" i="1"/>
  <c r="S77" i="1"/>
  <c r="S88" i="1"/>
  <c r="S89" i="1"/>
  <c r="S90" i="1"/>
  <c r="S91" i="1"/>
  <c r="S92" i="1"/>
  <c r="S93" i="1"/>
  <c r="S94" i="1"/>
  <c r="S19" i="1"/>
  <c r="S20" i="1"/>
  <c r="S21" i="1"/>
  <c r="S22" i="1"/>
  <c r="S23" i="1"/>
  <c r="S24" i="1"/>
  <c r="S25" i="1"/>
  <c r="S9" i="1"/>
  <c r="S10" i="1"/>
  <c r="S11" i="1"/>
  <c r="S12" i="1"/>
  <c r="S13" i="1"/>
  <c r="S43" i="1"/>
  <c r="S44" i="1"/>
  <c r="S45" i="1"/>
  <c r="S46" i="1"/>
  <c r="S47" i="1"/>
  <c r="S48" i="1"/>
  <c r="S61" i="1"/>
  <c r="S62" i="1"/>
  <c r="S63" i="1"/>
  <c r="S64" i="1"/>
  <c r="S65" i="1"/>
  <c r="S78" i="1"/>
  <c r="S79" i="1"/>
  <c r="S80" i="1"/>
  <c r="S81" i="1"/>
  <c r="S82" i="1"/>
  <c r="S95" i="1"/>
  <c r="S96" i="1"/>
  <c r="S97" i="1"/>
  <c r="S98" i="1"/>
  <c r="S99" i="1"/>
  <c r="S26" i="1"/>
  <c r="S27" i="1"/>
  <c r="S28" i="1"/>
  <c r="S29" i="1"/>
  <c r="S30" i="1"/>
  <c r="S14" i="1"/>
  <c r="S15" i="1"/>
  <c r="S16" i="1"/>
  <c r="S17" i="1"/>
  <c r="S18" i="1"/>
  <c r="S49" i="1"/>
  <c r="S50" i="1"/>
  <c r="S51" i="1"/>
  <c r="S52" i="1"/>
  <c r="S53" i="1"/>
  <c r="S66" i="1"/>
  <c r="S67" i="1"/>
  <c r="S68" i="1"/>
  <c r="S69" i="1"/>
  <c r="S70" i="1"/>
  <c r="S83" i="1"/>
  <c r="S84" i="1"/>
  <c r="S85" i="1"/>
  <c r="S86" i="1"/>
  <c r="S87" i="1"/>
  <c r="S100" i="1"/>
  <c r="S101" i="1"/>
  <c r="S102" i="1"/>
  <c r="S103" i="1"/>
  <c r="S104" i="1"/>
  <c r="S31" i="1"/>
  <c r="S32" i="1"/>
  <c r="S33" i="1"/>
  <c r="S34" i="1"/>
  <c r="S35" i="1"/>
  <c r="S106" i="1"/>
  <c r="S107" i="1"/>
  <c r="S108" i="1"/>
  <c r="S109" i="1"/>
  <c r="S110" i="1"/>
  <c r="S118" i="1"/>
  <c r="S119" i="1"/>
  <c r="S120" i="1"/>
  <c r="S121" i="1"/>
  <c r="S122" i="1"/>
  <c r="S130" i="1"/>
  <c r="S131" i="1"/>
  <c r="S132" i="1"/>
  <c r="S133" i="1"/>
  <c r="S134" i="1"/>
  <c r="S142" i="1"/>
  <c r="S143" i="1"/>
  <c r="S144" i="1"/>
  <c r="S145" i="1"/>
  <c r="S146" i="1"/>
  <c r="S154" i="1"/>
  <c r="S155" i="1"/>
  <c r="S156" i="1"/>
  <c r="S157" i="1"/>
  <c r="S158" i="1"/>
  <c r="S160" i="1"/>
  <c r="S161" i="1"/>
  <c r="S162" i="1"/>
  <c r="S163" i="1"/>
  <c r="S164" i="1"/>
  <c r="S2" i="1"/>
  <c r="V3" i="1"/>
  <c r="V4" i="1"/>
  <c r="V5" i="1"/>
  <c r="V6" i="1"/>
  <c r="V7" i="1"/>
  <c r="V8" i="1"/>
  <c r="V36" i="1"/>
  <c r="V37" i="1"/>
  <c r="V38" i="1"/>
  <c r="V39" i="1"/>
  <c r="V40" i="1"/>
  <c r="V41" i="1"/>
  <c r="V42" i="1"/>
  <c r="V54" i="1"/>
  <c r="V55" i="1"/>
  <c r="V56" i="1"/>
  <c r="V57" i="1"/>
  <c r="V58" i="1"/>
  <c r="V59" i="1"/>
  <c r="V60" i="1"/>
  <c r="V71" i="1"/>
  <c r="V72" i="1"/>
  <c r="V73" i="1"/>
  <c r="V74" i="1"/>
  <c r="V75" i="1"/>
  <c r="V76" i="1"/>
  <c r="V77" i="1"/>
  <c r="V88" i="1"/>
  <c r="V89" i="1"/>
  <c r="V90" i="1"/>
  <c r="V91" i="1"/>
  <c r="V92" i="1"/>
  <c r="V93" i="1"/>
  <c r="V94" i="1"/>
  <c r="V19" i="1"/>
  <c r="V20" i="1"/>
  <c r="V21" i="1"/>
  <c r="V22" i="1"/>
  <c r="V23" i="1"/>
  <c r="V24" i="1"/>
  <c r="V25" i="1"/>
  <c r="V9" i="1"/>
  <c r="V10" i="1"/>
  <c r="V11" i="1"/>
  <c r="V12" i="1"/>
  <c r="V13" i="1"/>
  <c r="V43" i="1"/>
  <c r="V44" i="1"/>
  <c r="V45" i="1"/>
  <c r="V46" i="1"/>
  <c r="V47" i="1"/>
  <c r="V48" i="1"/>
  <c r="V61" i="1"/>
  <c r="V62" i="1"/>
  <c r="V63" i="1"/>
  <c r="V64" i="1"/>
  <c r="V65" i="1"/>
  <c r="V78" i="1"/>
  <c r="V79" i="1"/>
  <c r="V80" i="1"/>
  <c r="V81" i="1"/>
  <c r="V82" i="1"/>
  <c r="V95" i="1"/>
  <c r="V96" i="1"/>
  <c r="V97" i="1"/>
  <c r="V98" i="1"/>
  <c r="V99" i="1"/>
  <c r="V26" i="1"/>
  <c r="V27" i="1"/>
  <c r="V28" i="1"/>
  <c r="V29" i="1"/>
  <c r="V30" i="1"/>
  <c r="V14" i="1"/>
  <c r="V15" i="1"/>
  <c r="V16" i="1"/>
  <c r="V17" i="1"/>
  <c r="V18" i="1"/>
  <c r="V49" i="1"/>
  <c r="V50" i="1"/>
  <c r="V51" i="1"/>
  <c r="V52" i="1"/>
  <c r="V53" i="1"/>
  <c r="V66" i="1"/>
  <c r="V67" i="1"/>
  <c r="V68" i="1"/>
  <c r="V69" i="1"/>
  <c r="V70" i="1"/>
  <c r="V83" i="1"/>
  <c r="V84" i="1"/>
  <c r="V85" i="1"/>
  <c r="V86" i="1"/>
  <c r="V87" i="1"/>
  <c r="V100" i="1"/>
  <c r="V101" i="1"/>
  <c r="V102" i="1"/>
  <c r="V103" i="1"/>
  <c r="V104" i="1"/>
  <c r="V31" i="1"/>
  <c r="V32" i="1"/>
  <c r="V33" i="1"/>
  <c r="V34" i="1"/>
  <c r="V35" i="1"/>
  <c r="V106" i="1"/>
  <c r="V107" i="1"/>
  <c r="V108" i="1"/>
  <c r="V109" i="1"/>
  <c r="V110" i="1"/>
  <c r="V118" i="1"/>
  <c r="V119" i="1"/>
  <c r="V120" i="1"/>
  <c r="V121" i="1"/>
  <c r="V122" i="1"/>
  <c r="V142" i="1"/>
  <c r="V143" i="1"/>
  <c r="V144" i="1"/>
  <c r="V145" i="1"/>
  <c r="V146" i="1"/>
  <c r="V154" i="1"/>
  <c r="V155" i="1"/>
  <c r="V156" i="1"/>
  <c r="V157" i="1"/>
  <c r="V158" i="1"/>
  <c r="V160" i="1"/>
  <c r="V161" i="1"/>
  <c r="V162" i="1"/>
  <c r="V163" i="1"/>
  <c r="V164" i="1"/>
  <c r="V2" i="1"/>
  <c r="Y2" i="1"/>
  <c r="Y3" i="1"/>
  <c r="Y4" i="1"/>
  <c r="Y5" i="1"/>
  <c r="Y6" i="1"/>
  <c r="Y7" i="1"/>
  <c r="Y8" i="1"/>
  <c r="Y36" i="1"/>
  <c r="Y37" i="1"/>
  <c r="Y38" i="1"/>
  <c r="Y39" i="1"/>
  <c r="Y40" i="1"/>
  <c r="Y41" i="1"/>
  <c r="Y42" i="1"/>
  <c r="Y54" i="1"/>
  <c r="Y55" i="1"/>
  <c r="Y56" i="1"/>
  <c r="Y57" i="1"/>
  <c r="Y58" i="1"/>
  <c r="Y59" i="1"/>
  <c r="Y60" i="1"/>
  <c r="Y71" i="1"/>
  <c r="Y72" i="1"/>
  <c r="Y73" i="1"/>
  <c r="Y74" i="1"/>
  <c r="Y75" i="1"/>
  <c r="Y76" i="1"/>
  <c r="Y77" i="1"/>
  <c r="AB88" i="1"/>
  <c r="AB89" i="1"/>
  <c r="AB90" i="1"/>
  <c r="AB91" i="1"/>
  <c r="AB92" i="1"/>
  <c r="AB93" i="1"/>
  <c r="AB94" i="1"/>
  <c r="AB19" i="1"/>
  <c r="AB20" i="1"/>
  <c r="AB21" i="1"/>
  <c r="AB22" i="1"/>
  <c r="AB23" i="1"/>
  <c r="AB24" i="1"/>
  <c r="AB25" i="1"/>
  <c r="AB9" i="1"/>
  <c r="AB10" i="1"/>
  <c r="AB11" i="1"/>
  <c r="AB12" i="1"/>
  <c r="AB13" i="1"/>
  <c r="AB43" i="1"/>
  <c r="AB44" i="1"/>
  <c r="AB45" i="1"/>
  <c r="AB46" i="1"/>
  <c r="AB47" i="1"/>
  <c r="AB48" i="1"/>
  <c r="AB61" i="1"/>
  <c r="AB62" i="1"/>
  <c r="AB63" i="1"/>
  <c r="AB64" i="1"/>
  <c r="AB65" i="1"/>
  <c r="AB78" i="1"/>
  <c r="AB79" i="1"/>
  <c r="AB80" i="1"/>
  <c r="AB81" i="1"/>
  <c r="AB82" i="1"/>
  <c r="AB95" i="1"/>
  <c r="AB96" i="1"/>
  <c r="AB97" i="1"/>
  <c r="AB98" i="1"/>
  <c r="AB99" i="1"/>
  <c r="AB26" i="1"/>
  <c r="AB27" i="1"/>
  <c r="AB28" i="1"/>
  <c r="AB29" i="1"/>
  <c r="AB30" i="1"/>
  <c r="AB14" i="1"/>
  <c r="AB15" i="1"/>
  <c r="AB16" i="1"/>
  <c r="AB17" i="1"/>
  <c r="AB18" i="1"/>
  <c r="AB49" i="1"/>
  <c r="AB50" i="1"/>
  <c r="AB51" i="1"/>
  <c r="AB52" i="1"/>
  <c r="AB53" i="1"/>
  <c r="AB66" i="1"/>
  <c r="AB67" i="1"/>
  <c r="AB68" i="1"/>
  <c r="AB69" i="1"/>
  <c r="AB70" i="1"/>
  <c r="AB83" i="1"/>
  <c r="AB84" i="1"/>
  <c r="AB85" i="1"/>
  <c r="AB86" i="1"/>
  <c r="AB87" i="1"/>
  <c r="AB100" i="1"/>
  <c r="AB101" i="1"/>
  <c r="AB102" i="1"/>
  <c r="AB103" i="1"/>
  <c r="AB104" i="1"/>
  <c r="AB31" i="1"/>
  <c r="AB32" i="1"/>
  <c r="AB33" i="1"/>
  <c r="AB34" i="1"/>
  <c r="AB35" i="1"/>
  <c r="AB106" i="1"/>
  <c r="AB107" i="1"/>
  <c r="AB108" i="1"/>
  <c r="AB109" i="1"/>
  <c r="AB110" i="1"/>
  <c r="AB118" i="1"/>
  <c r="AB119" i="1"/>
  <c r="AB120" i="1"/>
  <c r="AB121" i="1"/>
  <c r="AB122" i="1"/>
  <c r="AB130" i="1"/>
  <c r="AB131" i="1"/>
  <c r="AB132" i="1"/>
  <c r="AB133" i="1"/>
  <c r="AB134" i="1"/>
  <c r="AB142" i="1"/>
  <c r="AB143" i="1"/>
  <c r="AB144" i="1"/>
  <c r="AB145" i="1"/>
  <c r="AB146" i="1"/>
  <c r="AB154" i="1"/>
  <c r="AB155" i="1"/>
  <c r="AB156" i="1"/>
  <c r="AB157" i="1"/>
  <c r="AB158" i="1"/>
  <c r="AB160" i="1"/>
  <c r="AB161" i="1"/>
  <c r="AB162" i="1"/>
  <c r="AB163" i="1"/>
  <c r="AB164" i="1"/>
  <c r="AB3" i="1"/>
  <c r="AB4" i="1"/>
  <c r="AB5" i="1"/>
  <c r="AB6" i="1"/>
  <c r="AB7" i="1"/>
  <c r="AB8" i="1"/>
  <c r="AB36" i="1"/>
  <c r="AB37" i="1"/>
  <c r="AB38" i="1"/>
  <c r="AB39" i="1"/>
  <c r="AB40" i="1"/>
  <c r="AB41" i="1"/>
  <c r="AB42" i="1"/>
  <c r="AB54" i="1"/>
  <c r="AB55" i="1"/>
  <c r="AB56" i="1"/>
  <c r="AB57" i="1"/>
  <c r="AB58" i="1"/>
  <c r="AB59" i="1"/>
  <c r="AB60" i="1"/>
  <c r="AB71" i="1"/>
  <c r="AB72" i="1"/>
  <c r="AB73" i="1"/>
  <c r="AB74" i="1"/>
  <c r="AB75" i="1"/>
  <c r="AB76" i="1"/>
  <c r="AB77" i="1"/>
  <c r="AB2" i="1"/>
  <c r="H3" i="1"/>
  <c r="H4" i="1"/>
  <c r="H5" i="1"/>
  <c r="H6" i="1"/>
  <c r="H7" i="1"/>
  <c r="H8" i="1"/>
  <c r="H36" i="1"/>
  <c r="H37" i="1"/>
  <c r="H38" i="1"/>
  <c r="H39" i="1"/>
  <c r="H40" i="1"/>
  <c r="H41" i="1"/>
  <c r="H42" i="1"/>
  <c r="H54" i="1"/>
  <c r="H55" i="1"/>
  <c r="H56" i="1"/>
  <c r="H57" i="1"/>
  <c r="H58" i="1"/>
  <c r="H59" i="1"/>
  <c r="H60" i="1"/>
  <c r="H71" i="1"/>
  <c r="H72" i="1"/>
  <c r="H73" i="1"/>
  <c r="H74" i="1"/>
  <c r="H75" i="1"/>
  <c r="H76" i="1"/>
  <c r="H77" i="1"/>
  <c r="H88" i="1"/>
  <c r="H89" i="1"/>
  <c r="H90" i="1"/>
  <c r="H91" i="1"/>
  <c r="H92" i="1"/>
  <c r="H93" i="1"/>
  <c r="H94" i="1"/>
  <c r="H19" i="1"/>
  <c r="H20" i="1"/>
  <c r="H21" i="1"/>
  <c r="H22" i="1"/>
  <c r="H23" i="1"/>
  <c r="H24" i="1"/>
  <c r="H25" i="1"/>
  <c r="H9" i="1"/>
  <c r="H10" i="1"/>
  <c r="H11" i="1"/>
  <c r="H12" i="1"/>
  <c r="H13" i="1"/>
  <c r="H43" i="1"/>
  <c r="H44" i="1"/>
  <c r="H45" i="1"/>
  <c r="H46" i="1"/>
  <c r="H47" i="1"/>
  <c r="H48" i="1"/>
  <c r="H61" i="1"/>
  <c r="H62" i="1"/>
  <c r="H63" i="1"/>
  <c r="H64" i="1"/>
  <c r="H65" i="1"/>
  <c r="H78" i="1"/>
  <c r="H79" i="1"/>
  <c r="H80" i="1"/>
  <c r="H81" i="1"/>
  <c r="H82" i="1"/>
  <c r="H95" i="1"/>
  <c r="H96" i="1"/>
  <c r="H97" i="1"/>
  <c r="H98" i="1"/>
  <c r="H99" i="1"/>
  <c r="H26" i="1"/>
  <c r="H27" i="1"/>
  <c r="H28" i="1"/>
  <c r="H29" i="1"/>
  <c r="H30" i="1"/>
  <c r="H14" i="1"/>
  <c r="H15" i="1"/>
  <c r="H16" i="1"/>
  <c r="H17" i="1"/>
  <c r="H18" i="1"/>
  <c r="H49" i="1"/>
  <c r="H50" i="1"/>
  <c r="H51" i="1"/>
  <c r="H52" i="1"/>
  <c r="H53" i="1"/>
  <c r="H66" i="1"/>
  <c r="H67" i="1"/>
  <c r="H68" i="1"/>
  <c r="H69" i="1"/>
  <c r="H70" i="1"/>
  <c r="H83" i="1"/>
  <c r="H84" i="1"/>
  <c r="H85" i="1"/>
  <c r="H86" i="1"/>
  <c r="H87" i="1"/>
  <c r="H100" i="1"/>
  <c r="H101" i="1"/>
  <c r="H102" i="1"/>
  <c r="H103" i="1"/>
  <c r="H104" i="1"/>
  <c r="H31" i="1"/>
  <c r="H32" i="1"/>
  <c r="H33" i="1"/>
  <c r="H34" i="1"/>
  <c r="H35" i="1"/>
  <c r="H2" i="1"/>
</calcChain>
</file>

<file path=xl/sharedStrings.xml><?xml version="1.0" encoding="utf-8"?>
<sst xmlns="http://schemas.openxmlformats.org/spreadsheetml/2006/main" count="354" uniqueCount="54">
  <si>
    <t>SourceSheet</t>
  </si>
  <si>
    <t>experiment replicate</t>
  </si>
  <si>
    <t>sample replicate</t>
  </si>
  <si>
    <t>UV</t>
  </si>
  <si>
    <t>NH4 C0</t>
  </si>
  <si>
    <t>Cl2free (mgCl2/L)</t>
  </si>
  <si>
    <t>Cl2free C/C0</t>
  </si>
  <si>
    <t>Cl2total (mgCl2/L)</t>
  </si>
  <si>
    <t>Cl2total C/C0</t>
  </si>
  <si>
    <t>pH</t>
  </si>
  <si>
    <t>Phosphate buffer (mM)</t>
  </si>
  <si>
    <t>dioxane (microgram/L)</t>
  </si>
  <si>
    <t>dioxane C/C0</t>
  </si>
  <si>
    <t>sucralose C0 (microgram/L)</t>
  </si>
  <si>
    <t>sucralose (microgram/L</t>
  </si>
  <si>
    <t>sucralose C/C0</t>
  </si>
  <si>
    <t>caffeine C0 (microgram/L)</t>
  </si>
  <si>
    <t>caffeine (microgram/L)</t>
  </si>
  <si>
    <t>caffeine C/C0</t>
  </si>
  <si>
    <t>Cl2 injected (mgCl2/L)</t>
  </si>
  <si>
    <t>UV time(minute)</t>
  </si>
  <si>
    <t>total time(minute)</t>
  </si>
  <si>
    <t>Rayox 0mgL Cl2 pH 5</t>
  </si>
  <si>
    <t>Rayox 2mgL Cl2 pH 5</t>
  </si>
  <si>
    <t>Rayox 5mgL Cl2 pH 5</t>
  </si>
  <si>
    <t>Rayox 6mgL Cl2 pH 5</t>
  </si>
  <si>
    <t>Rayox 9,6mgL Cl2 pH 5</t>
  </si>
  <si>
    <t>Rayox 12,6mgL Cl2 pH 5</t>
  </si>
  <si>
    <t>Rayox 0mgL Cl2 pH 7</t>
  </si>
  <si>
    <t>Rayox 2mgL Cl2 pH 7</t>
  </si>
  <si>
    <t>Rayox 5mgL Cl2 pH 7</t>
  </si>
  <si>
    <t>Rayox 6mgL Cl2 pH 7</t>
  </si>
  <si>
    <t>Rayox 9,6mgL Cl2 pH 7</t>
  </si>
  <si>
    <t>Rayox 12,6mgL Cl2 pH 7</t>
  </si>
  <si>
    <t>Rayox 0mgL Cl2 pH 9</t>
  </si>
  <si>
    <t>Rayox 2mgL Cl2 pH 9</t>
  </si>
  <si>
    <t>Rayox 5mgL Cl2 pH 9</t>
  </si>
  <si>
    <t>Rayox 6mgL Cl2 pH 9</t>
  </si>
  <si>
    <t>Rayox 9,6mgL Cl2 pH 9</t>
  </si>
  <si>
    <t>Rayox 12,6mgL Cl2 pH 9</t>
  </si>
  <si>
    <t>pHi</t>
  </si>
  <si>
    <t>Dioxane C0</t>
  </si>
  <si>
    <t>Carbamazepine C0 (microgram/L)</t>
  </si>
  <si>
    <t>Carbamazepine (microgram/L)</t>
  </si>
  <si>
    <t>Carbamazepine C/C0</t>
  </si>
  <si>
    <t>Wastewater Rayox 4mgL Cl2</t>
  </si>
  <si>
    <t xml:space="preserve">Wastewater Rayox 4mgL Cl2 </t>
  </si>
  <si>
    <t xml:space="preserve">Wastewater Rayox 8mgL Cl2 </t>
  </si>
  <si>
    <t xml:space="preserve">Wastewater Rayox 14mgL Cl2 </t>
  </si>
  <si>
    <t xml:space="preserve">Wastewater Rayox 20mgL Cl2 </t>
  </si>
  <si>
    <t xml:space="preserve">Wastewater Rayox 25mgL Cl2 </t>
  </si>
  <si>
    <t>Type</t>
  </si>
  <si>
    <t>MQ</t>
  </si>
  <si>
    <t>Wastewater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</si>
</sst>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B9C3E-01E7-4E59-9C1E-0B673889516C}" name="Tableau1" displayName="Tableau1" ref="A1:AB164" totalsRowShown="0" headerRowDxfId="2" headerRowBorderDxfId="1" tableBorderDxfId="0">
  <autoFilter ref="A1:AB164" xr:uid="{EECB9C3E-01E7-4E59-9C1E-0B673889516C}">
    <filterColumn colId="1">
      <filters>
        <filter val="Wastewater"/>
      </filters>
    </filterColumn>
    <filterColumn colId="4">
      <filters>
        <filter val="25"/>
      </filters>
    </filterColumn>
  </autoFilter>
  <sortState xmlns:xlrd2="http://schemas.microsoft.com/office/spreadsheetml/2017/richdata2" ref="A153:AB164">
    <sortCondition ref="D1:D164"/>
  </sortState>
  <tableColumns count="28">
    <tableColumn id="1" xr3:uid="{1D6CD850-892E-43C2-B71A-47A9689312D5}" name="SourceSheet"/>
    <tableColumn id="28" xr3:uid="{87ACE3A5-A9DA-452B-810A-D3FE72C6F5E6}" name="Type"/>
    <tableColumn id="2" xr3:uid="{B60A161A-2660-4788-8883-3421856CD637}" name="experiment replicate"/>
    <tableColumn id="3" xr3:uid="{C07CD47B-FF21-42C4-84AE-0EE0BA235D42}" name="sample replicate"/>
    <tableColumn id="4" xr3:uid="{C93FB129-63BE-4DE3-B74C-3D7DDA626DE2}" name="Cl2 injected (mgCl2/L)"/>
    <tableColumn id="5" xr3:uid="{F46A8DF2-C72E-4D90-8346-2DD459469C72}" name="pHi"/>
    <tableColumn id="6" xr3:uid="{64EC233C-095A-4977-B1E7-FA523A1BA5F4}" name="UV time(minute)"/>
    <tableColumn id="7" xr3:uid="{C9E0CD7D-FA28-4ED5-8DA6-1F058CA3DB5F}" name="total time(minute)"/>
    <tableColumn id="8" xr3:uid="{457E30FA-BF3A-43D3-A813-9637815822EA}" name="Phosphate buffer (mM)"/>
    <tableColumn id="9" xr3:uid="{3199AF8B-154A-47D7-A901-6BB427CF75D8}" name="UV"/>
    <tableColumn id="10" xr3:uid="{2253EF68-117D-4BEA-BA9D-BB765885230A}" name="NH4 C0"/>
    <tableColumn id="11" xr3:uid="{72D883DE-861F-4F12-A4F3-33E903D39F93}" name="Cl2free (mgCl2/L)"/>
    <tableColumn id="12" xr3:uid="{97434D39-D6B1-4B8B-B63F-B9E43FBF8B5D}" name="Cl2free C/C0"/>
    <tableColumn id="13" xr3:uid="{F40ECF15-2D35-42CA-AED0-04B1DC0809E6}" name="Cl2total (mgCl2/L)"/>
    <tableColumn id="14" xr3:uid="{A22C5058-11F7-4AE0-AC41-58F6BF0E9AC3}" name="Cl2total C/C0"/>
    <tableColumn id="15" xr3:uid="{8D319BA7-0A13-415C-BB35-9B97DACBEFEC}" name="pH"/>
    <tableColumn id="16" xr3:uid="{331FD1AA-A8A2-4BE1-ADCC-CB90D0B833A6}" name="Dioxane C0"/>
    <tableColumn id="17" xr3:uid="{E0070660-5FC2-488B-86DA-5C462434D9F4}" name="dioxane (microgram/L)"/>
    <tableColumn id="18" xr3:uid="{D3746083-62DD-457C-B51A-2ABAD8CE752D}" name="dioxane C/C0">
      <calculatedColumnFormula>Tableau1[[#This Row],[dioxane (microgram/L)]]/Tableau1[[#This Row],[Dioxane C0]]</calculatedColumnFormula>
    </tableColumn>
    <tableColumn id="19" xr3:uid="{63D7F125-B2D9-4D0A-8E36-3223F2CFF171}" name="sucralose C0 (microgram/L)"/>
    <tableColumn id="20" xr3:uid="{C97E8C83-1285-4949-BFDA-1CDCDFE61B5B}" name="sucralose (microgram/L"/>
    <tableColumn id="21" xr3:uid="{E7B1D9F7-FFCE-453F-B49B-E618F8EBD878}" name="sucralose C/C0">
      <calculatedColumnFormula>Tableau1[[#This Row],[sucralose (microgram/L]]/Tableau1[[#This Row],[sucralose C0 (microgram/L)]]</calculatedColumnFormula>
    </tableColumn>
    <tableColumn id="22" xr3:uid="{A1DD6CB7-0EA4-4D14-87C3-D7B53B1A2BBB}" name="caffeine C0 (microgram/L)"/>
    <tableColumn id="23" xr3:uid="{CA5AE4D8-1160-4151-9C85-BFD31938DFE9}" name="caffeine (microgram/L)"/>
    <tableColumn id="24" xr3:uid="{CF40DA7C-566B-4D69-9266-6C5D68C2E784}" name="caffeine C/C0"/>
    <tableColumn id="25" xr3:uid="{6C6FB319-DAE6-4973-BEA8-EFE6F2D0D055}" name="Carbamazepine C0 (microgram/L)"/>
    <tableColumn id="26" xr3:uid="{ADA70EC2-0AE9-450F-ADA5-70A83499164D}" name="Carbamazepine (microgram/L)"/>
    <tableColumn id="27" xr3:uid="{BD2D4F74-8D03-4477-8B08-AF0D77B6C767}" name="Carbamazepine C/C0">
      <calculatedColumnFormula>Tableau1[[#This Row],[Carbamazepine (microgram/L)]]/Tableau1[[#This Row],[Carbamazepine C0 (microgram/L)]]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4"/>
  <sheetViews>
    <sheetView tabSelected="1" topLeftCell="W1" workbookViewId="0">
      <selection activeCell="AA160" sqref="AA160:AA164"/>
    </sheetView>
  </sheetViews>
  <sheetFormatPr baseColWidth="10" defaultColWidth="9.140625" defaultRowHeight="15" x14ac:dyDescent="0.25"/>
  <cols>
    <col min="1" max="1" width="26.7109375" bestFit="1" customWidth="1"/>
    <col min="2" max="2" width="26.7109375" customWidth="1"/>
    <col min="3" max="3" width="21.85546875" customWidth="1"/>
    <col min="4" max="4" width="17.85546875" customWidth="1"/>
    <col min="5" max="5" width="22.5703125" customWidth="1"/>
    <col min="6" max="6" width="6.140625" customWidth="1"/>
    <col min="7" max="7" width="18.28515625" customWidth="1"/>
    <col min="8" max="8" width="19.7109375" customWidth="1"/>
    <col min="9" max="9" width="24" customWidth="1"/>
    <col min="10" max="10" width="5.85546875" customWidth="1"/>
    <col min="11" max="11" width="9.42578125" customWidth="1"/>
    <col min="12" max="12" width="18.5703125" customWidth="1"/>
    <col min="13" max="13" width="14.140625" customWidth="1"/>
    <col min="14" max="14" width="19" customWidth="1"/>
    <col min="15" max="15" width="14.5703125" customWidth="1"/>
    <col min="16" max="16" width="7.28515625" customWidth="1"/>
    <col min="17" max="17" width="20.42578125" customWidth="1"/>
    <col min="18" max="18" width="28" customWidth="1"/>
    <col min="19" max="19" width="14.85546875" customWidth="1"/>
    <col min="20" max="20" width="27" customWidth="1"/>
    <col min="21" max="21" width="23.7109375" customWidth="1"/>
    <col min="22" max="22" width="16" customWidth="1"/>
    <col min="23" max="23" width="26" customWidth="1"/>
    <col min="24" max="24" width="23.42578125" customWidth="1"/>
    <col min="25" max="25" width="15" customWidth="1"/>
    <col min="26" max="26" width="30.7109375" bestFit="1" customWidth="1"/>
    <col min="27" max="27" width="28.140625" bestFit="1" customWidth="1"/>
    <col min="28" max="28" width="19.42578125" bestFit="1" customWidth="1"/>
  </cols>
  <sheetData>
    <row r="1" spans="1:28" x14ac:dyDescent="0.25">
      <c r="A1" s="1" t="s">
        <v>0</v>
      </c>
      <c r="B1" s="1" t="s">
        <v>51</v>
      </c>
      <c r="C1" s="1" t="s">
        <v>1</v>
      </c>
      <c r="D1" s="1" t="s">
        <v>2</v>
      </c>
      <c r="E1" s="1" t="s">
        <v>19</v>
      </c>
      <c r="F1" s="1" t="s">
        <v>40</v>
      </c>
      <c r="G1" s="1" t="s">
        <v>20</v>
      </c>
      <c r="H1" s="1" t="s">
        <v>21</v>
      </c>
      <c r="I1" s="1" t="s">
        <v>10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41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42</v>
      </c>
      <c r="AA1" s="1" t="s">
        <v>43</v>
      </c>
      <c r="AB1" s="1" t="s">
        <v>44</v>
      </c>
    </row>
    <row r="2" spans="1:28" hidden="1" x14ac:dyDescent="0.25">
      <c r="A2" t="s">
        <v>22</v>
      </c>
      <c r="B2" t="s">
        <v>52</v>
      </c>
      <c r="C2">
        <v>1</v>
      </c>
      <c r="D2">
        <v>1</v>
      </c>
      <c r="E2">
        <v>0</v>
      </c>
      <c r="F2">
        <v>5</v>
      </c>
      <c r="G2">
        <v>0</v>
      </c>
      <c r="H2">
        <f t="shared" ref="H2:H33" si="0">G2+20</f>
        <v>20</v>
      </c>
      <c r="I2">
        <v>2</v>
      </c>
      <c r="J2">
        <v>1</v>
      </c>
      <c r="K2">
        <v>0.98</v>
      </c>
      <c r="L2">
        <v>0.12</v>
      </c>
      <c r="P2">
        <v>5.74</v>
      </c>
      <c r="Q2">
        <v>109.58</v>
      </c>
      <c r="R2">
        <v>108.826852093006</v>
      </c>
      <c r="S2">
        <f>Tableau1[[#This Row],[dioxane (microgram/L)]]/Tableau1[[#This Row],[Dioxane C0]]</f>
        <v>0.99312695832274134</v>
      </c>
      <c r="T2">
        <v>95.065520483634401</v>
      </c>
      <c r="U2">
        <v>95.065520483634401</v>
      </c>
      <c r="V2">
        <f>Tableau1[[#This Row],[sucralose (microgram/L]]/Tableau1[[#This Row],[sucralose C0 (microgram/L)]]</f>
        <v>1</v>
      </c>
      <c r="W2">
        <v>91.788339944387616</v>
      </c>
      <c r="X2">
        <v>91.788339944387616</v>
      </c>
      <c r="Y2">
        <f>Tableau1[[#This Row],[caffeine (microgram/L)]]/Tableau1[[#This Row],[caffeine C0 (microgram/L)]]</f>
        <v>1</v>
      </c>
      <c r="AB2" t="e">
        <f>Tableau1[[#This Row],[Carbamazepine (microgram/L)]]/Tableau1[[#This Row],[Carbamazepine C0 (microgram/L)]]</f>
        <v>#DIV/0!</v>
      </c>
    </row>
    <row r="3" spans="1:28" hidden="1" x14ac:dyDescent="0.25">
      <c r="A3" t="s">
        <v>22</v>
      </c>
      <c r="B3" t="s">
        <v>52</v>
      </c>
      <c r="C3">
        <v>1</v>
      </c>
      <c r="D3">
        <v>1</v>
      </c>
      <c r="E3">
        <v>0</v>
      </c>
      <c r="F3">
        <v>5</v>
      </c>
      <c r="G3">
        <v>0.5</v>
      </c>
      <c r="H3">
        <f t="shared" si="0"/>
        <v>20.5</v>
      </c>
      <c r="I3">
        <v>2</v>
      </c>
      <c r="J3">
        <v>1</v>
      </c>
      <c r="K3">
        <v>0.98</v>
      </c>
      <c r="L3">
        <v>0.08</v>
      </c>
      <c r="P3">
        <v>5.73</v>
      </c>
      <c r="Q3">
        <v>109.58</v>
      </c>
      <c r="R3">
        <v>89.363750593689886</v>
      </c>
      <c r="S3">
        <f>Tableau1[[#This Row],[dioxane (microgram/L)]]/Tableau1[[#This Row],[Dioxane C0]]</f>
        <v>0.81551150386648918</v>
      </c>
      <c r="T3">
        <v>95.065520483634401</v>
      </c>
      <c r="U3">
        <v>86.229765957002897</v>
      </c>
      <c r="V3">
        <f>Tableau1[[#This Row],[sucralose (microgram/L]]/Tableau1[[#This Row],[sucralose C0 (microgram/L)]]</f>
        <v>0.90705615998649491</v>
      </c>
      <c r="W3">
        <v>91.788339944387616</v>
      </c>
      <c r="X3">
        <v>90.526621854809989</v>
      </c>
      <c r="Y3">
        <f>Tableau1[[#This Row],[caffeine (microgram/L)]]/Tableau1[[#This Row],[caffeine C0 (microgram/L)]]</f>
        <v>0.98625404827735119</v>
      </c>
      <c r="AB3" t="e">
        <f>Tableau1[[#This Row],[Carbamazepine (microgram/L)]]/Tableau1[[#This Row],[Carbamazepine C0 (microgram/L)]]</f>
        <v>#DIV/0!</v>
      </c>
    </row>
    <row r="4" spans="1:28" hidden="1" x14ac:dyDescent="0.25">
      <c r="A4" t="s">
        <v>22</v>
      </c>
      <c r="B4" t="s">
        <v>52</v>
      </c>
      <c r="C4">
        <v>1</v>
      </c>
      <c r="D4">
        <v>1</v>
      </c>
      <c r="E4">
        <v>0</v>
      </c>
      <c r="F4">
        <v>5</v>
      </c>
      <c r="G4">
        <v>1</v>
      </c>
      <c r="H4">
        <f t="shared" si="0"/>
        <v>21</v>
      </c>
      <c r="I4">
        <v>2</v>
      </c>
      <c r="J4">
        <v>1</v>
      </c>
      <c r="K4">
        <v>0.98</v>
      </c>
      <c r="L4">
        <v>0.16</v>
      </c>
      <c r="P4">
        <v>5.63</v>
      </c>
      <c r="Q4">
        <v>109.58</v>
      </c>
      <c r="R4">
        <v>102.5882561416699</v>
      </c>
      <c r="S4">
        <f>Tableau1[[#This Row],[dioxane (microgram/L)]]/Tableau1[[#This Row],[Dioxane C0]]</f>
        <v>0.93619507338629226</v>
      </c>
      <c r="T4">
        <v>95.065520483634401</v>
      </c>
      <c r="U4">
        <v>93.910764224943804</v>
      </c>
      <c r="V4">
        <f>Tableau1[[#This Row],[sucralose (microgram/L]]/Tableau1[[#This Row],[sucralose C0 (microgram/L)]]</f>
        <v>0.98785304858358836</v>
      </c>
      <c r="W4">
        <v>91.788339944387616</v>
      </c>
      <c r="X4">
        <v>89.545060581043245</v>
      </c>
      <c r="Y4">
        <f>Tableau1[[#This Row],[caffeine (microgram/L)]]/Tableau1[[#This Row],[caffeine C0 (microgram/L)]]</f>
        <v>0.97556030139881034</v>
      </c>
      <c r="AB4" t="e">
        <f>Tableau1[[#This Row],[Carbamazepine (microgram/L)]]/Tableau1[[#This Row],[Carbamazepine C0 (microgram/L)]]</f>
        <v>#DIV/0!</v>
      </c>
    </row>
    <row r="5" spans="1:28" hidden="1" x14ac:dyDescent="0.25">
      <c r="A5" t="s">
        <v>22</v>
      </c>
      <c r="B5" t="s">
        <v>52</v>
      </c>
      <c r="C5">
        <v>1</v>
      </c>
      <c r="D5">
        <v>1</v>
      </c>
      <c r="E5">
        <v>0</v>
      </c>
      <c r="F5">
        <v>5</v>
      </c>
      <c r="G5">
        <v>1.5</v>
      </c>
      <c r="H5">
        <f t="shared" si="0"/>
        <v>21.5</v>
      </c>
      <c r="I5">
        <v>2</v>
      </c>
      <c r="J5">
        <v>1</v>
      </c>
      <c r="K5">
        <v>0.98</v>
      </c>
      <c r="L5">
        <v>0.04</v>
      </c>
      <c r="P5">
        <v>5.63</v>
      </c>
      <c r="Q5">
        <v>109.58</v>
      </c>
      <c r="R5">
        <v>92.544114183833599</v>
      </c>
      <c r="S5">
        <f>Tableau1[[#This Row],[dioxane (microgram/L)]]/Tableau1[[#This Row],[Dioxane C0]]</f>
        <v>0.84453471604155506</v>
      </c>
      <c r="T5">
        <v>95.065520483634401</v>
      </c>
      <c r="U5">
        <v>96.393609700601047</v>
      </c>
      <c r="V5">
        <f>Tableau1[[#This Row],[sucralose (microgram/L]]/Tableau1[[#This Row],[sucralose C0 (microgram/L)]]</f>
        <v>1.0139702513614837</v>
      </c>
      <c r="W5">
        <v>91.788339944387616</v>
      </c>
      <c r="X5">
        <v>87.160855673434327</v>
      </c>
      <c r="Y5">
        <f>Tableau1[[#This Row],[caffeine (microgram/L)]]/Tableau1[[#This Row],[caffeine C0 (microgram/L)]]</f>
        <v>0.94958527113839331</v>
      </c>
      <c r="AB5" t="e">
        <f>Tableau1[[#This Row],[Carbamazepine (microgram/L)]]/Tableau1[[#This Row],[Carbamazepine C0 (microgram/L)]]</f>
        <v>#DIV/0!</v>
      </c>
    </row>
    <row r="6" spans="1:28" hidden="1" x14ac:dyDescent="0.25">
      <c r="A6" t="s">
        <v>22</v>
      </c>
      <c r="B6" t="s">
        <v>52</v>
      </c>
      <c r="C6">
        <v>1</v>
      </c>
      <c r="D6">
        <v>1</v>
      </c>
      <c r="E6">
        <v>0</v>
      </c>
      <c r="F6">
        <v>5</v>
      </c>
      <c r="G6">
        <v>2</v>
      </c>
      <c r="H6">
        <f t="shared" si="0"/>
        <v>22</v>
      </c>
      <c r="I6">
        <v>2</v>
      </c>
      <c r="J6">
        <v>1</v>
      </c>
      <c r="K6">
        <v>0.98</v>
      </c>
      <c r="L6">
        <v>0.02</v>
      </c>
      <c r="P6">
        <v>5.58</v>
      </c>
      <c r="Q6">
        <v>109.58</v>
      </c>
      <c r="R6">
        <v>90.260899963799034</v>
      </c>
      <c r="S6">
        <f>Tableau1[[#This Row],[dioxane (microgram/L)]]/Tableau1[[#This Row],[Dioxane C0]]</f>
        <v>0.8236986673097193</v>
      </c>
      <c r="T6">
        <v>95.065520483634401</v>
      </c>
      <c r="U6">
        <v>95.090778622116588</v>
      </c>
      <c r="V6">
        <f>Tableau1[[#This Row],[sucralose (microgram/L]]/Tableau1[[#This Row],[sucralose C0 (microgram/L)]]</f>
        <v>1.0002656918970589</v>
      </c>
      <c r="W6">
        <v>91.788339944387616</v>
      </c>
      <c r="X6">
        <v>83.51976773076575</v>
      </c>
      <c r="Y6">
        <f>Tableau1[[#This Row],[caffeine (microgram/L)]]/Tableau1[[#This Row],[caffeine C0 (microgram/L)]]</f>
        <v>0.9099169652852247</v>
      </c>
      <c r="AB6" t="e">
        <f>Tableau1[[#This Row],[Carbamazepine (microgram/L)]]/Tableau1[[#This Row],[Carbamazepine C0 (microgram/L)]]</f>
        <v>#DIV/0!</v>
      </c>
    </row>
    <row r="7" spans="1:28" hidden="1" x14ac:dyDescent="0.25">
      <c r="A7" t="s">
        <v>22</v>
      </c>
      <c r="B7" t="s">
        <v>52</v>
      </c>
      <c r="C7">
        <v>1</v>
      </c>
      <c r="D7">
        <v>1</v>
      </c>
      <c r="E7">
        <v>0</v>
      </c>
      <c r="F7">
        <v>5</v>
      </c>
      <c r="G7">
        <v>2.5</v>
      </c>
      <c r="H7">
        <f t="shared" si="0"/>
        <v>22.5</v>
      </c>
      <c r="I7">
        <v>2</v>
      </c>
      <c r="J7">
        <v>1</v>
      </c>
      <c r="K7">
        <v>0.98</v>
      </c>
      <c r="L7">
        <v>0.01</v>
      </c>
      <c r="P7">
        <v>5.59</v>
      </c>
      <c r="Q7">
        <v>109.58</v>
      </c>
      <c r="R7">
        <v>90.501642076532974</v>
      </c>
      <c r="S7">
        <f>Tableau1[[#This Row],[dioxane (microgram/L)]]/Tableau1[[#This Row],[Dioxane C0]]</f>
        <v>0.82589562033704123</v>
      </c>
      <c r="T7">
        <v>95.065520483634401</v>
      </c>
      <c r="U7">
        <v>98.374618160551293</v>
      </c>
      <c r="V7">
        <f>Tableau1[[#This Row],[sucralose (microgram/L]]/Tableau1[[#This Row],[sucralose C0 (microgram/L)]]</f>
        <v>1.0348086000064194</v>
      </c>
      <c r="W7">
        <v>91.788339944387616</v>
      </c>
      <c r="X7">
        <v>84.399974003979082</v>
      </c>
      <c r="Y7">
        <f>Tableau1[[#This Row],[caffeine (microgram/L)]]/Tableau1[[#This Row],[caffeine C0 (microgram/L)]]</f>
        <v>0.91950648693630399</v>
      </c>
      <c r="AB7" t="e">
        <f>Tableau1[[#This Row],[Carbamazepine (microgram/L)]]/Tableau1[[#This Row],[Carbamazepine C0 (microgram/L)]]</f>
        <v>#DIV/0!</v>
      </c>
    </row>
    <row r="8" spans="1:28" hidden="1" x14ac:dyDescent="0.25">
      <c r="A8" t="s">
        <v>22</v>
      </c>
      <c r="B8" t="s">
        <v>52</v>
      </c>
      <c r="C8">
        <v>1</v>
      </c>
      <c r="D8">
        <v>1</v>
      </c>
      <c r="E8">
        <v>0</v>
      </c>
      <c r="F8">
        <v>5</v>
      </c>
      <c r="G8">
        <v>3</v>
      </c>
      <c r="H8">
        <f t="shared" si="0"/>
        <v>23</v>
      </c>
      <c r="I8">
        <v>2</v>
      </c>
      <c r="J8">
        <v>1</v>
      </c>
      <c r="K8">
        <v>0.98</v>
      </c>
      <c r="L8">
        <v>0</v>
      </c>
      <c r="P8">
        <v>5.59</v>
      </c>
      <c r="Q8">
        <v>109.58</v>
      </c>
      <c r="R8">
        <v>87.875799423253952</v>
      </c>
      <c r="S8">
        <f>Tableau1[[#This Row],[dioxane (microgram/L)]]/Tableau1[[#This Row],[Dioxane C0]]</f>
        <v>0.80193282919560094</v>
      </c>
      <c r="T8">
        <v>95.065520483634401</v>
      </c>
      <c r="U8">
        <v>90.484921034793729</v>
      </c>
      <c r="V8">
        <f>Tableau1[[#This Row],[sucralose (microgram/L]]/Tableau1[[#This Row],[sucralose C0 (microgram/L)]]</f>
        <v>0.95181639541300123</v>
      </c>
      <c r="W8">
        <v>91.788339944387616</v>
      </c>
      <c r="X8">
        <v>80.902839007592945</v>
      </c>
      <c r="Y8">
        <f>Tableau1[[#This Row],[caffeine (microgram/L)]]/Tableau1[[#This Row],[caffeine C0 (microgram/L)]]</f>
        <v>0.88140649516714287</v>
      </c>
      <c r="AB8" t="e">
        <f>Tableau1[[#This Row],[Carbamazepine (microgram/L)]]/Tableau1[[#This Row],[Carbamazepine C0 (microgram/L)]]</f>
        <v>#DIV/0!</v>
      </c>
    </row>
    <row r="9" spans="1:28" hidden="1" x14ac:dyDescent="0.25">
      <c r="A9" t="s">
        <v>28</v>
      </c>
      <c r="B9" t="s">
        <v>52</v>
      </c>
      <c r="C9">
        <v>1</v>
      </c>
      <c r="D9">
        <v>1</v>
      </c>
      <c r="E9">
        <v>0</v>
      </c>
      <c r="F9">
        <v>7</v>
      </c>
      <c r="G9">
        <v>0</v>
      </c>
      <c r="H9">
        <f t="shared" si="0"/>
        <v>20</v>
      </c>
      <c r="I9">
        <v>2</v>
      </c>
      <c r="J9">
        <v>1</v>
      </c>
      <c r="K9">
        <v>0.98</v>
      </c>
      <c r="L9">
        <v>0</v>
      </c>
      <c r="M9" t="e">
        <f>Tableau1[[#This Row],[Cl2free (mgCl2/L)]]/Tableau1[[#This Row],[Cl2 injected (mgCl2/L)]]</f>
        <v>#DIV/0!</v>
      </c>
      <c r="O9" t="e">
        <f>Tableau1[[#This Row],[Cl2total (mgCl2/L)]]/Tableau1[[#This Row],[Cl2 injected (mgCl2/L)]]</f>
        <v>#DIV/0!</v>
      </c>
      <c r="P9">
        <v>7.42</v>
      </c>
      <c r="Q9">
        <v>109.58</v>
      </c>
      <c r="R9">
        <v>109.58</v>
      </c>
      <c r="S9">
        <f>Tableau1[[#This Row],[dioxane (microgram/L)]]/Tableau1[[#This Row],[Dioxane C0]]</f>
        <v>1</v>
      </c>
      <c r="T9">
        <v>96.92</v>
      </c>
      <c r="U9">
        <v>96.92</v>
      </c>
      <c r="V9">
        <f>Tableau1[[#This Row],[sucralose (microgram/L]]/Tableau1[[#This Row],[sucralose C0 (microgram/L)]]</f>
        <v>1</v>
      </c>
      <c r="W9">
        <v>93.83</v>
      </c>
      <c r="X9">
        <v>93.83</v>
      </c>
      <c r="Y9">
        <v>1</v>
      </c>
      <c r="AB9" t="e">
        <f>Tableau1[[#This Row],[Carbamazepine (microgram/L)]]/Tableau1[[#This Row],[Carbamazepine C0 (microgram/L)]]</f>
        <v>#DIV/0!</v>
      </c>
    </row>
    <row r="10" spans="1:28" hidden="1" x14ac:dyDescent="0.25">
      <c r="A10" t="s">
        <v>28</v>
      </c>
      <c r="B10" t="s">
        <v>52</v>
      </c>
      <c r="C10">
        <v>1</v>
      </c>
      <c r="D10">
        <v>1</v>
      </c>
      <c r="E10">
        <v>0</v>
      </c>
      <c r="F10">
        <v>7</v>
      </c>
      <c r="G10">
        <v>1</v>
      </c>
      <c r="H10">
        <f t="shared" si="0"/>
        <v>21</v>
      </c>
      <c r="I10">
        <v>2</v>
      </c>
      <c r="J10">
        <v>1</v>
      </c>
      <c r="K10">
        <v>0.98</v>
      </c>
      <c r="M10" t="e">
        <f>Tableau1[[#This Row],[Cl2free (mgCl2/L)]]/Tableau1[[#This Row],[Cl2 injected (mgCl2/L)]]</f>
        <v>#DIV/0!</v>
      </c>
      <c r="O10" t="e">
        <f>Tableau1[[#This Row],[Cl2total (mgCl2/L)]]/Tableau1[[#This Row],[Cl2 injected (mgCl2/L)]]</f>
        <v>#DIV/0!</v>
      </c>
      <c r="P10">
        <v>7.43</v>
      </c>
      <c r="Q10">
        <v>109.58</v>
      </c>
      <c r="R10">
        <v>105.19</v>
      </c>
      <c r="S10">
        <f>Tableau1[[#This Row],[dioxane (microgram/L)]]/Tableau1[[#This Row],[Dioxane C0]]</f>
        <v>0.95993794488045259</v>
      </c>
      <c r="T10">
        <v>96.92</v>
      </c>
      <c r="U10">
        <v>89.7</v>
      </c>
      <c r="V10">
        <f>Tableau1[[#This Row],[sucralose (microgram/L]]/Tableau1[[#This Row],[sucralose C0 (microgram/L)]]</f>
        <v>0.92550557160544777</v>
      </c>
      <c r="W10">
        <v>93.83</v>
      </c>
      <c r="X10">
        <v>91.11</v>
      </c>
      <c r="Y10">
        <v>0.97101140360225946</v>
      </c>
      <c r="AB10" t="e">
        <f>Tableau1[[#This Row],[Carbamazepine (microgram/L)]]/Tableau1[[#This Row],[Carbamazepine C0 (microgram/L)]]</f>
        <v>#DIV/0!</v>
      </c>
    </row>
    <row r="11" spans="1:28" hidden="1" x14ac:dyDescent="0.25">
      <c r="A11" t="s">
        <v>28</v>
      </c>
      <c r="B11" t="s">
        <v>52</v>
      </c>
      <c r="C11">
        <v>1</v>
      </c>
      <c r="D11">
        <v>1</v>
      </c>
      <c r="E11">
        <v>0</v>
      </c>
      <c r="F11">
        <v>7</v>
      </c>
      <c r="G11">
        <v>2</v>
      </c>
      <c r="H11">
        <f t="shared" si="0"/>
        <v>22</v>
      </c>
      <c r="I11">
        <v>2</v>
      </c>
      <c r="J11">
        <v>1</v>
      </c>
      <c r="K11">
        <v>0.98</v>
      </c>
      <c r="M11" t="e">
        <f>Tableau1[[#This Row],[Cl2free (mgCl2/L)]]/Tableau1[[#This Row],[Cl2 injected (mgCl2/L)]]</f>
        <v>#DIV/0!</v>
      </c>
      <c r="O11" t="e">
        <f>Tableau1[[#This Row],[Cl2total (mgCl2/L)]]/Tableau1[[#This Row],[Cl2 injected (mgCl2/L)]]</f>
        <v>#DIV/0!</v>
      </c>
      <c r="P11">
        <v>7.43</v>
      </c>
      <c r="Q11">
        <v>109.58</v>
      </c>
      <c r="R11">
        <v>98.39</v>
      </c>
      <c r="S11">
        <f>Tableau1[[#This Row],[dioxane (microgram/L)]]/Tableau1[[#This Row],[Dioxane C0]]</f>
        <v>0.89788282533309005</v>
      </c>
      <c r="T11">
        <v>96.92</v>
      </c>
      <c r="U11">
        <v>93.16</v>
      </c>
      <c r="V11">
        <f>Tableau1[[#This Row],[sucralose (microgram/L]]/Tableau1[[#This Row],[sucralose C0 (microgram/L)]]</f>
        <v>0.9612051176227816</v>
      </c>
      <c r="W11">
        <v>93.83</v>
      </c>
      <c r="X11">
        <v>87.77</v>
      </c>
      <c r="Y11">
        <v>0.93541511243738673</v>
      </c>
      <c r="AB11" t="e">
        <f>Tableau1[[#This Row],[Carbamazepine (microgram/L)]]/Tableau1[[#This Row],[Carbamazepine C0 (microgram/L)]]</f>
        <v>#DIV/0!</v>
      </c>
    </row>
    <row r="12" spans="1:28" hidden="1" x14ac:dyDescent="0.25">
      <c r="A12" t="s">
        <v>28</v>
      </c>
      <c r="B12" t="s">
        <v>52</v>
      </c>
      <c r="C12">
        <v>1</v>
      </c>
      <c r="D12">
        <v>1</v>
      </c>
      <c r="E12">
        <v>0</v>
      </c>
      <c r="F12">
        <v>7</v>
      </c>
      <c r="G12">
        <v>3</v>
      </c>
      <c r="H12">
        <f t="shared" si="0"/>
        <v>23</v>
      </c>
      <c r="I12">
        <v>2</v>
      </c>
      <c r="J12">
        <v>1</v>
      </c>
      <c r="K12">
        <v>0.98</v>
      </c>
      <c r="M12" t="e">
        <f>Tableau1[[#This Row],[Cl2free (mgCl2/L)]]/Tableau1[[#This Row],[Cl2 injected (mgCl2/L)]]</f>
        <v>#DIV/0!</v>
      </c>
      <c r="O12" t="e">
        <f>Tableau1[[#This Row],[Cl2total (mgCl2/L)]]/Tableau1[[#This Row],[Cl2 injected (mgCl2/L)]]</f>
        <v>#DIV/0!</v>
      </c>
      <c r="P12">
        <v>7.43</v>
      </c>
      <c r="Q12">
        <v>109.58</v>
      </c>
      <c r="R12">
        <v>95.94</v>
      </c>
      <c r="S12">
        <f>Tableau1[[#This Row],[dioxane (microgram/L)]]/Tableau1[[#This Row],[Dioxane C0]]</f>
        <v>0.87552473079029014</v>
      </c>
      <c r="T12">
        <v>96.92</v>
      </c>
      <c r="U12">
        <v>92.94</v>
      </c>
      <c r="V12">
        <f>Tableau1[[#This Row],[sucralose (microgram/L]]/Tableau1[[#This Row],[sucralose C0 (microgram/L)]]</f>
        <v>0.95893520429219969</v>
      </c>
      <c r="W12">
        <v>93.83</v>
      </c>
      <c r="X12">
        <v>84.51</v>
      </c>
      <c r="Y12">
        <v>0.90067142704891834</v>
      </c>
      <c r="AB12" t="e">
        <f>Tableau1[[#This Row],[Carbamazepine (microgram/L)]]/Tableau1[[#This Row],[Carbamazepine C0 (microgram/L)]]</f>
        <v>#DIV/0!</v>
      </c>
    </row>
    <row r="13" spans="1:28" hidden="1" x14ac:dyDescent="0.25">
      <c r="A13" t="s">
        <v>28</v>
      </c>
      <c r="B13" t="s">
        <v>52</v>
      </c>
      <c r="C13">
        <v>1</v>
      </c>
      <c r="D13">
        <v>1</v>
      </c>
      <c r="E13">
        <v>0</v>
      </c>
      <c r="F13">
        <v>7</v>
      </c>
      <c r="G13">
        <v>4</v>
      </c>
      <c r="H13">
        <f t="shared" si="0"/>
        <v>24</v>
      </c>
      <c r="I13">
        <v>2</v>
      </c>
      <c r="J13">
        <v>1</v>
      </c>
      <c r="K13">
        <v>0.98</v>
      </c>
      <c r="M13" t="e">
        <f>Tableau1[[#This Row],[Cl2free (mgCl2/L)]]/Tableau1[[#This Row],[Cl2 injected (mgCl2/L)]]</f>
        <v>#DIV/0!</v>
      </c>
      <c r="O13" t="e">
        <f>Tableau1[[#This Row],[Cl2total (mgCl2/L)]]/Tableau1[[#This Row],[Cl2 injected (mgCl2/L)]]</f>
        <v>#DIV/0!</v>
      </c>
      <c r="P13">
        <v>7.43</v>
      </c>
      <c r="Q13">
        <v>109.58</v>
      </c>
      <c r="R13">
        <v>95.01</v>
      </c>
      <c r="S13">
        <f>Tableau1[[#This Row],[dioxane (microgram/L)]]/Tableau1[[#This Row],[Dioxane C0]]</f>
        <v>0.86703778061690095</v>
      </c>
      <c r="T13">
        <v>96.92</v>
      </c>
      <c r="U13">
        <v>94.07</v>
      </c>
      <c r="V13">
        <f>Tableau1[[#This Row],[sucralose (microgram/L]]/Tableau1[[#This Row],[sucralose C0 (microgram/L)]]</f>
        <v>0.97059430458109774</v>
      </c>
      <c r="W13">
        <v>93.83</v>
      </c>
      <c r="X13">
        <v>82.93</v>
      </c>
      <c r="Y13">
        <v>0.88383246296493667</v>
      </c>
      <c r="AB13" t="e">
        <f>Tableau1[[#This Row],[Carbamazepine (microgram/L)]]/Tableau1[[#This Row],[Carbamazepine C0 (microgram/L)]]</f>
        <v>#DIV/0!</v>
      </c>
    </row>
    <row r="14" spans="1:28" hidden="1" x14ac:dyDescent="0.25">
      <c r="A14" t="s">
        <v>34</v>
      </c>
      <c r="B14" t="s">
        <v>52</v>
      </c>
      <c r="C14">
        <v>1</v>
      </c>
      <c r="D14">
        <v>1</v>
      </c>
      <c r="E14">
        <v>0</v>
      </c>
      <c r="F14">
        <v>9</v>
      </c>
      <c r="G14">
        <v>0</v>
      </c>
      <c r="H14">
        <f t="shared" si="0"/>
        <v>20</v>
      </c>
      <c r="I14">
        <v>2</v>
      </c>
      <c r="J14">
        <v>1</v>
      </c>
      <c r="K14">
        <v>0.98</v>
      </c>
      <c r="L14">
        <v>0</v>
      </c>
      <c r="M14" t="e">
        <f>Tableau1[[#This Row],[Cl2free (mgCl2/L)]]/Tableau1[[#This Row],[Cl2 injected (mgCl2/L)]]</f>
        <v>#DIV/0!</v>
      </c>
      <c r="O14" t="e">
        <f>Tableau1[[#This Row],[Cl2total (mgCl2/L)]]/Tableau1[[#This Row],[Cl2 injected (mgCl2/L)]]</f>
        <v>#DIV/0!</v>
      </c>
      <c r="P14">
        <v>8.93</v>
      </c>
      <c r="Q14">
        <v>109.3320535032108</v>
      </c>
      <c r="R14">
        <v>109.3320535032108</v>
      </c>
      <c r="S14">
        <f>Tableau1[[#This Row],[dioxane (microgram/L)]]/Tableau1[[#This Row],[Dioxane C0]]</f>
        <v>1</v>
      </c>
      <c r="T14">
        <v>95.42910126839692</v>
      </c>
      <c r="U14">
        <v>95.42910126839692</v>
      </c>
      <c r="V14">
        <f>Tableau1[[#This Row],[sucralose (microgram/L]]/Tableau1[[#This Row],[sucralose C0 (microgram/L)]]</f>
        <v>1</v>
      </c>
      <c r="W14">
        <v>90.007480566758815</v>
      </c>
      <c r="X14">
        <v>90.007480566758815</v>
      </c>
      <c r="Y14">
        <v>1</v>
      </c>
      <c r="AB14" t="e">
        <f>Tableau1[[#This Row],[Carbamazepine (microgram/L)]]/Tableau1[[#This Row],[Carbamazepine C0 (microgram/L)]]</f>
        <v>#DIV/0!</v>
      </c>
    </row>
    <row r="15" spans="1:28" hidden="1" x14ac:dyDescent="0.25">
      <c r="A15" t="s">
        <v>34</v>
      </c>
      <c r="B15" t="s">
        <v>52</v>
      </c>
      <c r="C15">
        <v>1</v>
      </c>
      <c r="D15">
        <v>1</v>
      </c>
      <c r="E15">
        <v>0</v>
      </c>
      <c r="F15">
        <v>9</v>
      </c>
      <c r="G15">
        <v>1</v>
      </c>
      <c r="H15">
        <f t="shared" si="0"/>
        <v>21</v>
      </c>
      <c r="I15">
        <v>2</v>
      </c>
      <c r="J15">
        <v>1</v>
      </c>
      <c r="K15">
        <v>0.98</v>
      </c>
      <c r="M15" t="e">
        <f>Tableau1[[#This Row],[Cl2free (mgCl2/L)]]/Tableau1[[#This Row],[Cl2 injected (mgCl2/L)]]</f>
        <v>#DIV/0!</v>
      </c>
      <c r="O15" t="e">
        <f>Tableau1[[#This Row],[Cl2total (mgCl2/L)]]/Tableau1[[#This Row],[Cl2 injected (mgCl2/L)]]</f>
        <v>#DIV/0!</v>
      </c>
      <c r="P15">
        <v>8.94</v>
      </c>
      <c r="Q15">
        <v>109.3320535032108</v>
      </c>
      <c r="R15">
        <v>111.3218856593401</v>
      </c>
      <c r="S15">
        <f>Tableau1[[#This Row],[dioxane (microgram/L)]]/Tableau1[[#This Row],[Dioxane C0]]</f>
        <v>1.0181998973985324</v>
      </c>
      <c r="T15">
        <v>95.42910126839692</v>
      </c>
      <c r="U15">
        <v>100.7632715190685</v>
      </c>
      <c r="V15">
        <f>Tableau1[[#This Row],[sucralose (microgram/L]]/Tableau1[[#This Row],[sucralose C0 (microgram/L)]]</f>
        <v>1.055896683294429</v>
      </c>
      <c r="W15">
        <v>90.007480566758815</v>
      </c>
      <c r="X15">
        <v>89.946900584535285</v>
      </c>
      <c r="Y15">
        <v>0.99932694502899011</v>
      </c>
      <c r="AB15" t="e">
        <f>Tableau1[[#This Row],[Carbamazepine (microgram/L)]]/Tableau1[[#This Row],[Carbamazepine C0 (microgram/L)]]</f>
        <v>#DIV/0!</v>
      </c>
    </row>
    <row r="16" spans="1:28" hidden="1" x14ac:dyDescent="0.25">
      <c r="A16" t="s">
        <v>34</v>
      </c>
      <c r="B16" t="s">
        <v>52</v>
      </c>
      <c r="C16">
        <v>1</v>
      </c>
      <c r="D16">
        <v>1</v>
      </c>
      <c r="E16">
        <v>0</v>
      </c>
      <c r="F16">
        <v>9</v>
      </c>
      <c r="G16">
        <v>2</v>
      </c>
      <c r="H16">
        <f t="shared" si="0"/>
        <v>22</v>
      </c>
      <c r="I16">
        <v>2</v>
      </c>
      <c r="J16">
        <v>1</v>
      </c>
      <c r="K16">
        <v>0.98</v>
      </c>
      <c r="M16" t="e">
        <f>Tableau1[[#This Row],[Cl2free (mgCl2/L)]]/Tableau1[[#This Row],[Cl2 injected (mgCl2/L)]]</f>
        <v>#DIV/0!</v>
      </c>
      <c r="O16" t="e">
        <f>Tableau1[[#This Row],[Cl2total (mgCl2/L)]]/Tableau1[[#This Row],[Cl2 injected (mgCl2/L)]]</f>
        <v>#DIV/0!</v>
      </c>
      <c r="P16">
        <v>8.91</v>
      </c>
      <c r="Q16">
        <v>109.3320535032108</v>
      </c>
      <c r="R16">
        <v>109.1698147285004</v>
      </c>
      <c r="S16">
        <f>Tableau1[[#This Row],[dioxane (microgram/L)]]/Tableau1[[#This Row],[Dioxane C0]]</f>
        <v>0.99851609139760977</v>
      </c>
      <c r="T16">
        <v>95.42910126839692</v>
      </c>
      <c r="U16">
        <v>96.951402110440938</v>
      </c>
      <c r="V16">
        <f>Tableau1[[#This Row],[sucralose (microgram/L]]/Tableau1[[#This Row],[sucralose C0 (microgram/L)]]</f>
        <v>1.0159521657629627</v>
      </c>
      <c r="W16">
        <v>90.007480566758815</v>
      </c>
      <c r="X16">
        <v>87.741973264331506</v>
      </c>
      <c r="Y16">
        <v>0.97482978872242765</v>
      </c>
      <c r="AB16" t="e">
        <f>Tableau1[[#This Row],[Carbamazepine (microgram/L)]]/Tableau1[[#This Row],[Carbamazepine C0 (microgram/L)]]</f>
        <v>#DIV/0!</v>
      </c>
    </row>
    <row r="17" spans="1:28" hidden="1" x14ac:dyDescent="0.25">
      <c r="A17" t="s">
        <v>34</v>
      </c>
      <c r="B17" t="s">
        <v>52</v>
      </c>
      <c r="C17">
        <v>1</v>
      </c>
      <c r="D17">
        <v>1</v>
      </c>
      <c r="E17">
        <v>0</v>
      </c>
      <c r="F17">
        <v>9</v>
      </c>
      <c r="G17">
        <v>3</v>
      </c>
      <c r="H17">
        <f t="shared" si="0"/>
        <v>23</v>
      </c>
      <c r="I17">
        <v>2</v>
      </c>
      <c r="J17">
        <v>1</v>
      </c>
      <c r="K17">
        <v>0.98</v>
      </c>
      <c r="M17" t="e">
        <f>Tableau1[[#This Row],[Cl2free (mgCl2/L)]]/Tableau1[[#This Row],[Cl2 injected (mgCl2/L)]]</f>
        <v>#DIV/0!</v>
      </c>
      <c r="O17" t="e">
        <f>Tableau1[[#This Row],[Cl2total (mgCl2/L)]]/Tableau1[[#This Row],[Cl2 injected (mgCl2/L)]]</f>
        <v>#DIV/0!</v>
      </c>
      <c r="P17">
        <v>8.9499999999999993</v>
      </c>
      <c r="Q17">
        <v>109.3320535032108</v>
      </c>
      <c r="R17">
        <v>104.28462888850819</v>
      </c>
      <c r="S17">
        <f>Tableau1[[#This Row],[dioxane (microgram/L)]]/Tableau1[[#This Row],[Dioxane C0]]</f>
        <v>0.95383399055470608</v>
      </c>
      <c r="T17">
        <v>95.42910126839692</v>
      </c>
      <c r="U17">
        <v>99.701253899858443</v>
      </c>
      <c r="V17">
        <f>Tableau1[[#This Row],[sucralose (microgram/L]]/Tableau1[[#This Row],[sucralose C0 (microgram/L)]]</f>
        <v>1.0447678179368574</v>
      </c>
      <c r="W17">
        <v>90.007480566758815</v>
      </c>
      <c r="X17">
        <v>87.685128009313374</v>
      </c>
      <c r="Y17">
        <v>0.97419822727153282</v>
      </c>
      <c r="AB17" t="e">
        <f>Tableau1[[#This Row],[Carbamazepine (microgram/L)]]/Tableau1[[#This Row],[Carbamazepine C0 (microgram/L)]]</f>
        <v>#DIV/0!</v>
      </c>
    </row>
    <row r="18" spans="1:28" hidden="1" x14ac:dyDescent="0.25">
      <c r="A18" t="s">
        <v>34</v>
      </c>
      <c r="B18" t="s">
        <v>52</v>
      </c>
      <c r="C18">
        <v>1</v>
      </c>
      <c r="D18">
        <v>1</v>
      </c>
      <c r="E18">
        <v>0</v>
      </c>
      <c r="F18">
        <v>9</v>
      </c>
      <c r="G18">
        <v>4</v>
      </c>
      <c r="H18">
        <f t="shared" si="0"/>
        <v>24</v>
      </c>
      <c r="I18">
        <v>2</v>
      </c>
      <c r="J18">
        <v>1</v>
      </c>
      <c r="K18">
        <v>0.98</v>
      </c>
      <c r="M18" t="e">
        <f>Tableau1[[#This Row],[Cl2free (mgCl2/L)]]/Tableau1[[#This Row],[Cl2 injected (mgCl2/L)]]</f>
        <v>#DIV/0!</v>
      </c>
      <c r="O18" t="e">
        <f>Tableau1[[#This Row],[Cl2total (mgCl2/L)]]/Tableau1[[#This Row],[Cl2 injected (mgCl2/L)]]</f>
        <v>#DIV/0!</v>
      </c>
      <c r="P18">
        <v>8.93</v>
      </c>
      <c r="Q18">
        <v>109.3320535032108</v>
      </c>
      <c r="R18">
        <v>100.9240903882438</v>
      </c>
      <c r="S18">
        <f>Tableau1[[#This Row],[dioxane (microgram/L)]]/Tableau1[[#This Row],[Dioxane C0]]</f>
        <v>0.92309699813037827</v>
      </c>
      <c r="T18">
        <v>95.42910126839692</v>
      </c>
      <c r="U18">
        <v>96.427694158887789</v>
      </c>
      <c r="V18">
        <f>Tableau1[[#This Row],[sucralose (microgram/L]]/Tableau1[[#This Row],[sucralose C0 (microgram/L)]]</f>
        <v>1.0104642386569511</v>
      </c>
      <c r="W18">
        <v>90.007480566758815</v>
      </c>
      <c r="X18">
        <v>86.61031279233562</v>
      </c>
      <c r="Y18">
        <v>0.96225682850989802</v>
      </c>
      <c r="AB18" t="e">
        <f>Tableau1[[#This Row],[Carbamazepine (microgram/L)]]/Tableau1[[#This Row],[Carbamazepine C0 (microgram/L)]]</f>
        <v>#DIV/0!</v>
      </c>
    </row>
    <row r="19" spans="1:28" hidden="1" x14ac:dyDescent="0.25">
      <c r="A19" t="s">
        <v>27</v>
      </c>
      <c r="B19" t="s">
        <v>52</v>
      </c>
      <c r="C19">
        <v>1</v>
      </c>
      <c r="D19">
        <v>1</v>
      </c>
      <c r="E19">
        <v>12.6</v>
      </c>
      <c r="F19">
        <v>5</v>
      </c>
      <c r="G19">
        <v>0</v>
      </c>
      <c r="H19">
        <f t="shared" si="0"/>
        <v>20</v>
      </c>
      <c r="I19">
        <v>2</v>
      </c>
      <c r="J19">
        <v>1</v>
      </c>
      <c r="K19">
        <v>0.98</v>
      </c>
      <c r="L19">
        <v>4.4800000000000004</v>
      </c>
      <c r="M19">
        <f>Tableau1[[#This Row],[Cl2free (mgCl2/L)]]/Tableau1[[#This Row],[Cl2 injected (mgCl2/L)]]</f>
        <v>0.35555555555555562</v>
      </c>
      <c r="N19">
        <v>6.32</v>
      </c>
      <c r="O19">
        <f>Tableau1[[#This Row],[Cl2total (mgCl2/L)]]/Tableau1[[#This Row],[Cl2 injected (mgCl2/L)]]</f>
        <v>0.50158730158730158</v>
      </c>
      <c r="P19">
        <v>5.82</v>
      </c>
      <c r="Q19">
        <v>123.39429157177361</v>
      </c>
      <c r="R19">
        <v>123.39429157177361</v>
      </c>
      <c r="S19">
        <f>Tableau1[[#This Row],[dioxane (microgram/L)]]/Tableau1[[#This Row],[Dioxane C0]]</f>
        <v>1</v>
      </c>
      <c r="T19">
        <v>104.55</v>
      </c>
      <c r="U19">
        <v>104.55</v>
      </c>
      <c r="V19">
        <f>Tableau1[[#This Row],[sucralose (microgram/L]]/Tableau1[[#This Row],[sucralose C0 (microgram/L)]]</f>
        <v>1</v>
      </c>
      <c r="AB19" t="e">
        <f>Tableau1[[#This Row],[Carbamazepine (microgram/L)]]/Tableau1[[#This Row],[Carbamazepine C0 (microgram/L)]]</f>
        <v>#DIV/0!</v>
      </c>
    </row>
    <row r="20" spans="1:28" hidden="1" x14ac:dyDescent="0.25">
      <c r="A20" t="s">
        <v>27</v>
      </c>
      <c r="B20" t="s">
        <v>52</v>
      </c>
      <c r="C20">
        <v>1</v>
      </c>
      <c r="D20">
        <v>1</v>
      </c>
      <c r="E20">
        <v>12.6</v>
      </c>
      <c r="F20">
        <v>5</v>
      </c>
      <c r="G20">
        <v>0.5</v>
      </c>
      <c r="H20">
        <f t="shared" si="0"/>
        <v>20.5</v>
      </c>
      <c r="I20">
        <v>2</v>
      </c>
      <c r="J20">
        <v>1</v>
      </c>
      <c r="K20">
        <v>0.98</v>
      </c>
      <c r="L20">
        <v>3.92</v>
      </c>
      <c r="M20">
        <f>Tableau1[[#This Row],[Cl2free (mgCl2/L)]]/Tableau1[[#This Row],[Cl2 injected (mgCl2/L)]]</f>
        <v>0.31111111111111112</v>
      </c>
      <c r="N20">
        <v>4.6399999999999997</v>
      </c>
      <c r="O20">
        <f>Tableau1[[#This Row],[Cl2total (mgCl2/L)]]/Tableau1[[#This Row],[Cl2 injected (mgCl2/L)]]</f>
        <v>0.36825396825396822</v>
      </c>
      <c r="P20">
        <v>5.59</v>
      </c>
      <c r="Q20">
        <v>123.39429157177361</v>
      </c>
      <c r="R20">
        <v>22.45400477146379</v>
      </c>
      <c r="S20">
        <f>Tableau1[[#This Row],[dioxane (microgram/L)]]/Tableau1[[#This Row],[Dioxane C0]]</f>
        <v>0.18196955860314801</v>
      </c>
      <c r="T20">
        <v>104.55</v>
      </c>
      <c r="U20">
        <v>36.729999999999997</v>
      </c>
      <c r="V20">
        <f>Tableau1[[#This Row],[sucralose (microgram/L]]/Tableau1[[#This Row],[sucralose C0 (microgram/L)]]</f>
        <v>0.35131516021042564</v>
      </c>
      <c r="AB20" t="e">
        <f>Tableau1[[#This Row],[Carbamazepine (microgram/L)]]/Tableau1[[#This Row],[Carbamazepine C0 (microgram/L)]]</f>
        <v>#DIV/0!</v>
      </c>
    </row>
    <row r="21" spans="1:28" hidden="1" x14ac:dyDescent="0.25">
      <c r="A21" t="s">
        <v>27</v>
      </c>
      <c r="B21" t="s">
        <v>52</v>
      </c>
      <c r="C21">
        <v>1</v>
      </c>
      <c r="D21">
        <v>1</v>
      </c>
      <c r="E21">
        <v>12.6</v>
      </c>
      <c r="F21">
        <v>5</v>
      </c>
      <c r="G21">
        <v>1</v>
      </c>
      <c r="H21">
        <f t="shared" si="0"/>
        <v>21</v>
      </c>
      <c r="I21">
        <v>2</v>
      </c>
      <c r="J21">
        <v>1</v>
      </c>
      <c r="K21">
        <v>0.98</v>
      </c>
      <c r="L21">
        <v>3.2</v>
      </c>
      <c r="M21">
        <f>Tableau1[[#This Row],[Cl2free (mgCl2/L)]]/Tableau1[[#This Row],[Cl2 injected (mgCl2/L)]]</f>
        <v>0.25396825396825401</v>
      </c>
      <c r="N21">
        <v>3.44</v>
      </c>
      <c r="O21">
        <f>Tableau1[[#This Row],[Cl2total (mgCl2/L)]]/Tableau1[[#This Row],[Cl2 injected (mgCl2/L)]]</f>
        <v>0.27301587301587305</v>
      </c>
      <c r="P21">
        <v>5.39</v>
      </c>
      <c r="Q21">
        <v>123.39429157177361</v>
      </c>
      <c r="R21">
        <v>3.2950820686757289</v>
      </c>
      <c r="S21">
        <f>Tableau1[[#This Row],[dioxane (microgram/L)]]/Tableau1[[#This Row],[Dioxane C0]]</f>
        <v>2.6703683182613916E-2</v>
      </c>
      <c r="T21">
        <v>104.55</v>
      </c>
      <c r="U21">
        <v>9.3000000000000007</v>
      </c>
      <c r="V21">
        <f>Tableau1[[#This Row],[sucralose (microgram/L]]/Tableau1[[#This Row],[sucralose C0 (microgram/L)]]</f>
        <v>8.8952654232424683E-2</v>
      </c>
      <c r="AB21" t="e">
        <f>Tableau1[[#This Row],[Carbamazepine (microgram/L)]]/Tableau1[[#This Row],[Carbamazepine C0 (microgram/L)]]</f>
        <v>#DIV/0!</v>
      </c>
    </row>
    <row r="22" spans="1:28" hidden="1" x14ac:dyDescent="0.25">
      <c r="A22" t="s">
        <v>27</v>
      </c>
      <c r="B22" t="s">
        <v>52</v>
      </c>
      <c r="C22">
        <v>1</v>
      </c>
      <c r="D22">
        <v>1</v>
      </c>
      <c r="E22">
        <v>12.6</v>
      </c>
      <c r="F22">
        <v>5</v>
      </c>
      <c r="G22">
        <v>1.5</v>
      </c>
      <c r="H22">
        <f t="shared" si="0"/>
        <v>21.5</v>
      </c>
      <c r="I22">
        <v>2</v>
      </c>
      <c r="J22">
        <v>1</v>
      </c>
      <c r="K22">
        <v>0.98</v>
      </c>
      <c r="L22">
        <v>2.56</v>
      </c>
      <c r="M22">
        <f>Tableau1[[#This Row],[Cl2free (mgCl2/L)]]/Tableau1[[#This Row],[Cl2 injected (mgCl2/L)]]</f>
        <v>0.20317460317460317</v>
      </c>
      <c r="N22">
        <v>2.56</v>
      </c>
      <c r="O22">
        <f>Tableau1[[#This Row],[Cl2total (mgCl2/L)]]/Tableau1[[#This Row],[Cl2 injected (mgCl2/L)]]</f>
        <v>0.20317460317460317</v>
      </c>
      <c r="P22">
        <v>5.21</v>
      </c>
      <c r="Q22">
        <v>123.39429157177361</v>
      </c>
      <c r="R22">
        <v>1.1381914258662369</v>
      </c>
      <c r="S22">
        <f>Tableau1[[#This Row],[dioxane (microgram/L)]]/Tableau1[[#This Row],[Dioxane C0]]</f>
        <v>9.2240201014825371E-3</v>
      </c>
      <c r="T22">
        <v>104.55</v>
      </c>
      <c r="U22">
        <v>0</v>
      </c>
      <c r="V22">
        <f>Tableau1[[#This Row],[sucralose (microgram/L]]/Tableau1[[#This Row],[sucralose C0 (microgram/L)]]</f>
        <v>0</v>
      </c>
      <c r="AB22" t="e">
        <f>Tableau1[[#This Row],[Carbamazepine (microgram/L)]]/Tableau1[[#This Row],[Carbamazepine C0 (microgram/L)]]</f>
        <v>#DIV/0!</v>
      </c>
    </row>
    <row r="23" spans="1:28" hidden="1" x14ac:dyDescent="0.25">
      <c r="A23" t="s">
        <v>27</v>
      </c>
      <c r="B23" t="s">
        <v>52</v>
      </c>
      <c r="C23">
        <v>1</v>
      </c>
      <c r="D23">
        <v>1</v>
      </c>
      <c r="E23">
        <v>12.6</v>
      </c>
      <c r="F23">
        <v>5</v>
      </c>
      <c r="G23">
        <v>2</v>
      </c>
      <c r="H23">
        <f t="shared" si="0"/>
        <v>22</v>
      </c>
      <c r="I23">
        <v>2</v>
      </c>
      <c r="J23">
        <v>1</v>
      </c>
      <c r="K23">
        <v>0.98</v>
      </c>
      <c r="L23">
        <v>1.72</v>
      </c>
      <c r="M23">
        <f>Tableau1[[#This Row],[Cl2free (mgCl2/L)]]/Tableau1[[#This Row],[Cl2 injected (mgCl2/L)]]</f>
        <v>0.13650793650793652</v>
      </c>
      <c r="N23">
        <v>1.8</v>
      </c>
      <c r="O23">
        <f>Tableau1[[#This Row],[Cl2total (mgCl2/L)]]/Tableau1[[#This Row],[Cl2 injected (mgCl2/L)]]</f>
        <v>0.14285714285714288</v>
      </c>
      <c r="P23">
        <v>5.1100000000000003</v>
      </c>
      <c r="Q23">
        <v>123.39429157177361</v>
      </c>
      <c r="R23">
        <v>0</v>
      </c>
      <c r="S23">
        <f>Tableau1[[#This Row],[dioxane (microgram/L)]]/Tableau1[[#This Row],[Dioxane C0]]</f>
        <v>0</v>
      </c>
      <c r="T23">
        <v>104.55</v>
      </c>
      <c r="U23">
        <v>0</v>
      </c>
      <c r="V23">
        <f>Tableau1[[#This Row],[sucralose (microgram/L]]/Tableau1[[#This Row],[sucralose C0 (microgram/L)]]</f>
        <v>0</v>
      </c>
      <c r="AB23" t="e">
        <f>Tableau1[[#This Row],[Carbamazepine (microgram/L)]]/Tableau1[[#This Row],[Carbamazepine C0 (microgram/L)]]</f>
        <v>#DIV/0!</v>
      </c>
    </row>
    <row r="24" spans="1:28" hidden="1" x14ac:dyDescent="0.25">
      <c r="A24" t="s">
        <v>27</v>
      </c>
      <c r="B24" t="s">
        <v>52</v>
      </c>
      <c r="C24">
        <v>1</v>
      </c>
      <c r="D24">
        <v>1</v>
      </c>
      <c r="E24">
        <v>12.6</v>
      </c>
      <c r="F24">
        <v>5</v>
      </c>
      <c r="G24">
        <v>2.5</v>
      </c>
      <c r="H24">
        <f t="shared" si="0"/>
        <v>22.5</v>
      </c>
      <c r="I24">
        <v>2</v>
      </c>
      <c r="J24">
        <v>1</v>
      </c>
      <c r="K24">
        <v>0.98</v>
      </c>
      <c r="L24">
        <v>0.87</v>
      </c>
      <c r="M24">
        <f>Tableau1[[#This Row],[Cl2free (mgCl2/L)]]/Tableau1[[#This Row],[Cl2 injected (mgCl2/L)]]</f>
        <v>6.9047619047619052E-2</v>
      </c>
      <c r="N24">
        <v>0.92</v>
      </c>
      <c r="O24">
        <f>Tableau1[[#This Row],[Cl2total (mgCl2/L)]]/Tableau1[[#This Row],[Cl2 injected (mgCl2/L)]]</f>
        <v>7.301587301587302E-2</v>
      </c>
      <c r="P24">
        <v>4.8600000000000003</v>
      </c>
      <c r="Q24">
        <v>123.39429157177361</v>
      </c>
      <c r="R24">
        <v>0</v>
      </c>
      <c r="S24">
        <f>Tableau1[[#This Row],[dioxane (microgram/L)]]/Tableau1[[#This Row],[Dioxane C0]]</f>
        <v>0</v>
      </c>
      <c r="T24">
        <v>104.55</v>
      </c>
      <c r="U24">
        <v>0</v>
      </c>
      <c r="V24">
        <f>Tableau1[[#This Row],[sucralose (microgram/L]]/Tableau1[[#This Row],[sucralose C0 (microgram/L)]]</f>
        <v>0</v>
      </c>
      <c r="AB24" t="e">
        <f>Tableau1[[#This Row],[Carbamazepine (microgram/L)]]/Tableau1[[#This Row],[Carbamazepine C0 (microgram/L)]]</f>
        <v>#DIV/0!</v>
      </c>
    </row>
    <row r="25" spans="1:28" hidden="1" x14ac:dyDescent="0.25">
      <c r="A25" t="s">
        <v>27</v>
      </c>
      <c r="B25" t="s">
        <v>52</v>
      </c>
      <c r="C25">
        <v>1</v>
      </c>
      <c r="D25">
        <v>1</v>
      </c>
      <c r="E25">
        <v>12.6</v>
      </c>
      <c r="F25">
        <v>5</v>
      </c>
      <c r="G25">
        <v>3</v>
      </c>
      <c r="H25">
        <f t="shared" si="0"/>
        <v>23</v>
      </c>
      <c r="I25">
        <v>2</v>
      </c>
      <c r="J25">
        <v>1</v>
      </c>
      <c r="K25">
        <v>0.98</v>
      </c>
      <c r="L25">
        <v>0.91</v>
      </c>
      <c r="M25">
        <f>Tableau1[[#This Row],[Cl2free (mgCl2/L)]]/Tableau1[[#This Row],[Cl2 injected (mgCl2/L)]]</f>
        <v>7.2222222222222229E-2</v>
      </c>
      <c r="N25">
        <v>0.96</v>
      </c>
      <c r="O25">
        <f>Tableau1[[#This Row],[Cl2total (mgCl2/L)]]/Tableau1[[#This Row],[Cl2 injected (mgCl2/L)]]</f>
        <v>7.6190476190476183E-2</v>
      </c>
      <c r="P25">
        <v>4.8600000000000003</v>
      </c>
      <c r="Q25">
        <v>123.39429157177361</v>
      </c>
      <c r="R25">
        <v>0</v>
      </c>
      <c r="S25">
        <f>Tableau1[[#This Row],[dioxane (microgram/L)]]/Tableau1[[#This Row],[Dioxane C0]]</f>
        <v>0</v>
      </c>
      <c r="T25">
        <v>104.55</v>
      </c>
      <c r="U25">
        <v>0</v>
      </c>
      <c r="V25">
        <f>Tableau1[[#This Row],[sucralose (microgram/L]]/Tableau1[[#This Row],[sucralose C0 (microgram/L)]]</f>
        <v>0</v>
      </c>
      <c r="AB25" t="e">
        <f>Tableau1[[#This Row],[Carbamazepine (microgram/L)]]/Tableau1[[#This Row],[Carbamazepine C0 (microgram/L)]]</f>
        <v>#DIV/0!</v>
      </c>
    </row>
    <row r="26" spans="1:28" hidden="1" x14ac:dyDescent="0.25">
      <c r="A26" t="s">
        <v>33</v>
      </c>
      <c r="B26" t="s">
        <v>52</v>
      </c>
      <c r="C26">
        <v>1</v>
      </c>
      <c r="D26">
        <v>1</v>
      </c>
      <c r="E26">
        <v>12.6</v>
      </c>
      <c r="F26">
        <v>7</v>
      </c>
      <c r="G26">
        <v>0</v>
      </c>
      <c r="H26">
        <f t="shared" si="0"/>
        <v>20</v>
      </c>
      <c r="I26">
        <v>2</v>
      </c>
      <c r="J26">
        <v>1</v>
      </c>
      <c r="K26">
        <v>0.98</v>
      </c>
      <c r="L26">
        <v>3.28</v>
      </c>
      <c r="M26">
        <f>Tableau1[[#This Row],[Cl2free (mgCl2/L)]]/Tableau1[[#This Row],[Cl2 injected (mgCl2/L)]]</f>
        <v>0.26031746031746034</v>
      </c>
      <c r="N26">
        <v>5.2</v>
      </c>
      <c r="O26">
        <f>Tableau1[[#This Row],[Cl2total (mgCl2/L)]]/Tableau1[[#This Row],[Cl2 injected (mgCl2/L)]]</f>
        <v>0.41269841269841273</v>
      </c>
      <c r="P26">
        <v>7.42</v>
      </c>
      <c r="Q26">
        <v>102.1970527152605</v>
      </c>
      <c r="R26">
        <v>102.1970527152605</v>
      </c>
      <c r="S26">
        <f>Tableau1[[#This Row],[dioxane (microgram/L)]]/Tableau1[[#This Row],[Dioxane C0]]</f>
        <v>1</v>
      </c>
      <c r="T26">
        <v>88.709213291962769</v>
      </c>
      <c r="U26">
        <v>88.709213291962769</v>
      </c>
      <c r="V26">
        <f>Tableau1[[#This Row],[sucralose (microgram/L]]/Tableau1[[#This Row],[sucralose C0 (microgram/L)]]</f>
        <v>1</v>
      </c>
      <c r="W26">
        <v>61.168037497513417</v>
      </c>
      <c r="Y26">
        <v>0</v>
      </c>
      <c r="AB26" t="e">
        <f>Tableau1[[#This Row],[Carbamazepine (microgram/L)]]/Tableau1[[#This Row],[Carbamazepine C0 (microgram/L)]]</f>
        <v>#DIV/0!</v>
      </c>
    </row>
    <row r="27" spans="1:28" hidden="1" x14ac:dyDescent="0.25">
      <c r="A27" t="s">
        <v>33</v>
      </c>
      <c r="B27" t="s">
        <v>52</v>
      </c>
      <c r="C27">
        <v>1</v>
      </c>
      <c r="D27">
        <v>1</v>
      </c>
      <c r="E27">
        <v>12.6</v>
      </c>
      <c r="F27">
        <v>7</v>
      </c>
      <c r="G27">
        <v>1</v>
      </c>
      <c r="H27">
        <f t="shared" si="0"/>
        <v>21</v>
      </c>
      <c r="I27">
        <v>2</v>
      </c>
      <c r="J27">
        <v>1</v>
      </c>
      <c r="K27">
        <v>0.98</v>
      </c>
      <c r="L27">
        <v>2</v>
      </c>
      <c r="M27">
        <f>Tableau1[[#This Row],[Cl2free (mgCl2/L)]]/Tableau1[[#This Row],[Cl2 injected (mgCl2/L)]]</f>
        <v>0.15873015873015872</v>
      </c>
      <c r="N27">
        <v>2.96</v>
      </c>
      <c r="O27">
        <f>Tableau1[[#This Row],[Cl2total (mgCl2/L)]]/Tableau1[[#This Row],[Cl2 injected (mgCl2/L)]]</f>
        <v>0.23492063492063492</v>
      </c>
      <c r="P27">
        <v>7.38</v>
      </c>
      <c r="Q27">
        <v>102.1970527152605</v>
      </c>
      <c r="R27">
        <v>72.400146224932513</v>
      </c>
      <c r="S27">
        <f>Tableau1[[#This Row],[dioxane (microgram/L)]]/Tableau1[[#This Row],[Dioxane C0]]</f>
        <v>0.70843673375446981</v>
      </c>
      <c r="T27">
        <v>88.709213291962769</v>
      </c>
      <c r="U27">
        <v>72.11928235411871</v>
      </c>
      <c r="V27">
        <f>Tableau1[[#This Row],[sucralose (microgram/L]]/Tableau1[[#This Row],[sucralose C0 (microgram/L)]]</f>
        <v>0.81298525460661319</v>
      </c>
      <c r="W27">
        <v>61.168037497513417</v>
      </c>
      <c r="Y27">
        <v>0</v>
      </c>
      <c r="AB27" t="e">
        <f>Tableau1[[#This Row],[Carbamazepine (microgram/L)]]/Tableau1[[#This Row],[Carbamazepine C0 (microgram/L)]]</f>
        <v>#DIV/0!</v>
      </c>
    </row>
    <row r="28" spans="1:28" hidden="1" x14ac:dyDescent="0.25">
      <c r="A28" t="s">
        <v>33</v>
      </c>
      <c r="B28" t="s">
        <v>52</v>
      </c>
      <c r="C28">
        <v>1</v>
      </c>
      <c r="D28">
        <v>1</v>
      </c>
      <c r="E28">
        <v>12.6</v>
      </c>
      <c r="F28">
        <v>7</v>
      </c>
      <c r="G28">
        <v>2</v>
      </c>
      <c r="H28">
        <f t="shared" si="0"/>
        <v>22</v>
      </c>
      <c r="I28">
        <v>2</v>
      </c>
      <c r="J28">
        <v>1</v>
      </c>
      <c r="K28">
        <v>0.98</v>
      </c>
      <c r="L28">
        <v>1.24</v>
      </c>
      <c r="M28">
        <f>Tableau1[[#This Row],[Cl2free (mgCl2/L)]]/Tableau1[[#This Row],[Cl2 injected (mgCl2/L)]]</f>
        <v>9.841269841269841E-2</v>
      </c>
      <c r="N28">
        <v>1.82</v>
      </c>
      <c r="O28">
        <f>Tableau1[[#This Row],[Cl2total (mgCl2/L)]]/Tableau1[[#This Row],[Cl2 injected (mgCl2/L)]]</f>
        <v>0.14444444444444446</v>
      </c>
      <c r="P28">
        <v>7.36</v>
      </c>
      <c r="Q28">
        <v>102.1970527152605</v>
      </c>
      <c r="R28">
        <v>53.395206269350957</v>
      </c>
      <c r="S28">
        <f>Tableau1[[#This Row],[dioxane (microgram/L)]]/Tableau1[[#This Row],[Dioxane C0]]</f>
        <v>0.52247305426820556</v>
      </c>
      <c r="T28">
        <v>88.709213291962769</v>
      </c>
      <c r="U28">
        <v>58.847337603843457</v>
      </c>
      <c r="V28">
        <f>Tableau1[[#This Row],[sucralose (microgram/L]]/Tableau1[[#This Row],[sucralose C0 (microgram/L)]]</f>
        <v>0.66337345829190375</v>
      </c>
      <c r="W28">
        <v>61.168037497513417</v>
      </c>
      <c r="Y28">
        <v>0</v>
      </c>
      <c r="AB28" t="e">
        <f>Tableau1[[#This Row],[Carbamazepine (microgram/L)]]/Tableau1[[#This Row],[Carbamazepine C0 (microgram/L)]]</f>
        <v>#DIV/0!</v>
      </c>
    </row>
    <row r="29" spans="1:28" hidden="1" x14ac:dyDescent="0.25">
      <c r="A29" t="s">
        <v>33</v>
      </c>
      <c r="B29" t="s">
        <v>52</v>
      </c>
      <c r="C29">
        <v>1</v>
      </c>
      <c r="D29">
        <v>1</v>
      </c>
      <c r="E29">
        <v>12.6</v>
      </c>
      <c r="F29">
        <v>7</v>
      </c>
      <c r="G29">
        <v>3</v>
      </c>
      <c r="H29">
        <f t="shared" si="0"/>
        <v>23</v>
      </c>
      <c r="I29">
        <v>2</v>
      </c>
      <c r="J29">
        <v>1</v>
      </c>
      <c r="K29">
        <v>0.98</v>
      </c>
      <c r="L29">
        <v>0.88</v>
      </c>
      <c r="M29">
        <f>Tableau1[[#This Row],[Cl2free (mgCl2/L)]]/Tableau1[[#This Row],[Cl2 injected (mgCl2/L)]]</f>
        <v>6.9841269841269843E-2</v>
      </c>
      <c r="N29">
        <v>1.08</v>
      </c>
      <c r="O29">
        <f>Tableau1[[#This Row],[Cl2total (mgCl2/L)]]/Tableau1[[#This Row],[Cl2 injected (mgCl2/L)]]</f>
        <v>8.5714285714285729E-2</v>
      </c>
      <c r="P29">
        <v>7.36</v>
      </c>
      <c r="Q29">
        <v>102.1970527152605</v>
      </c>
      <c r="R29">
        <v>45.175512386448972</v>
      </c>
      <c r="S29">
        <f>Tableau1[[#This Row],[dioxane (microgram/L)]]/Tableau1[[#This Row],[Dioxane C0]]</f>
        <v>0.44204320169893874</v>
      </c>
      <c r="T29">
        <v>88.709213291962769</v>
      </c>
      <c r="U29">
        <v>53.289710739665701</v>
      </c>
      <c r="V29">
        <f>Tableau1[[#This Row],[sucralose (microgram/L]]/Tableau1[[#This Row],[sucralose C0 (microgram/L)]]</f>
        <v>0.60072351858511919</v>
      </c>
      <c r="W29">
        <v>61.168037497513417</v>
      </c>
      <c r="Y29">
        <v>0</v>
      </c>
      <c r="AB29" t="e">
        <f>Tableau1[[#This Row],[Carbamazepine (microgram/L)]]/Tableau1[[#This Row],[Carbamazepine C0 (microgram/L)]]</f>
        <v>#DIV/0!</v>
      </c>
    </row>
    <row r="30" spans="1:28" hidden="1" x14ac:dyDescent="0.25">
      <c r="A30" t="s">
        <v>33</v>
      </c>
      <c r="B30" t="s">
        <v>52</v>
      </c>
      <c r="C30">
        <v>1</v>
      </c>
      <c r="D30">
        <v>1</v>
      </c>
      <c r="E30">
        <v>12.6</v>
      </c>
      <c r="F30">
        <v>7</v>
      </c>
      <c r="G30">
        <v>4</v>
      </c>
      <c r="H30">
        <f t="shared" si="0"/>
        <v>24</v>
      </c>
      <c r="I30">
        <v>2</v>
      </c>
      <c r="J30">
        <v>1</v>
      </c>
      <c r="K30">
        <v>0.98</v>
      </c>
      <c r="L30">
        <v>0.61</v>
      </c>
      <c r="M30">
        <f>Tableau1[[#This Row],[Cl2free (mgCl2/L)]]/Tableau1[[#This Row],[Cl2 injected (mgCl2/L)]]</f>
        <v>4.8412698412698414E-2</v>
      </c>
      <c r="N30">
        <v>0.64</v>
      </c>
      <c r="O30">
        <f>Tableau1[[#This Row],[Cl2total (mgCl2/L)]]/Tableau1[[#This Row],[Cl2 injected (mgCl2/L)]]</f>
        <v>5.0793650793650794E-2</v>
      </c>
      <c r="P30">
        <v>7.36</v>
      </c>
      <c r="Q30">
        <v>102.1970527152605</v>
      </c>
      <c r="R30">
        <v>34.946550999032183</v>
      </c>
      <c r="S30">
        <f>Tableau1[[#This Row],[dioxane (microgram/L)]]/Tableau1[[#This Row],[Dioxane C0]]</f>
        <v>0.34195263043837093</v>
      </c>
      <c r="T30">
        <v>88.709213291962769</v>
      </c>
      <c r="U30">
        <v>41.980907817035337</v>
      </c>
      <c r="V30">
        <f>Tableau1[[#This Row],[sucralose (microgram/L]]/Tableau1[[#This Row],[sucralose C0 (microgram/L)]]</f>
        <v>0.47324180047529396</v>
      </c>
      <c r="W30">
        <v>61.168037497513417</v>
      </c>
      <c r="Y30">
        <v>0</v>
      </c>
      <c r="AB30" t="e">
        <f>Tableau1[[#This Row],[Carbamazepine (microgram/L)]]/Tableau1[[#This Row],[Carbamazepine C0 (microgram/L)]]</f>
        <v>#DIV/0!</v>
      </c>
    </row>
    <row r="31" spans="1:28" hidden="1" x14ac:dyDescent="0.25">
      <c r="A31" t="s">
        <v>39</v>
      </c>
      <c r="B31" t="s">
        <v>52</v>
      </c>
      <c r="C31">
        <v>1</v>
      </c>
      <c r="D31">
        <v>1</v>
      </c>
      <c r="E31">
        <v>12.6</v>
      </c>
      <c r="F31">
        <v>9</v>
      </c>
      <c r="G31">
        <v>0</v>
      </c>
      <c r="H31">
        <f t="shared" si="0"/>
        <v>20</v>
      </c>
      <c r="I31">
        <v>2</v>
      </c>
      <c r="J31">
        <v>1</v>
      </c>
      <c r="K31">
        <v>0.98</v>
      </c>
      <c r="L31">
        <v>3.28</v>
      </c>
      <c r="M31">
        <f>Tableau1[[#This Row],[Cl2free (mgCl2/L)]]/Tableau1[[#This Row],[Cl2 injected (mgCl2/L)]]</f>
        <v>0.26031746031746034</v>
      </c>
      <c r="N31">
        <v>5.2</v>
      </c>
      <c r="O31">
        <f>Tableau1[[#This Row],[Cl2total (mgCl2/L)]]/Tableau1[[#This Row],[Cl2 injected (mgCl2/L)]]</f>
        <v>0.41269841269841273</v>
      </c>
      <c r="P31">
        <v>8.6199999999999992</v>
      </c>
      <c r="Q31">
        <v>110.4860556159291</v>
      </c>
      <c r="R31">
        <v>110.4860556159291</v>
      </c>
      <c r="S31">
        <f>Tableau1[[#This Row],[dioxane (microgram/L)]]/Tableau1[[#This Row],[Dioxane C0]]</f>
        <v>1</v>
      </c>
      <c r="T31">
        <v>87.60396167109964</v>
      </c>
      <c r="U31">
        <v>87.60396167109964</v>
      </c>
      <c r="V31">
        <f>Tableau1[[#This Row],[sucralose (microgram/L]]/Tableau1[[#This Row],[sucralose C0 (microgram/L)]]</f>
        <v>1</v>
      </c>
      <c r="W31">
        <v>61.168037497513417</v>
      </c>
      <c r="Y31">
        <v>0</v>
      </c>
      <c r="AB31" t="e">
        <f>Tableau1[[#This Row],[Carbamazepine (microgram/L)]]/Tableau1[[#This Row],[Carbamazepine C0 (microgram/L)]]</f>
        <v>#DIV/0!</v>
      </c>
    </row>
    <row r="32" spans="1:28" hidden="1" x14ac:dyDescent="0.25">
      <c r="A32" t="s">
        <v>39</v>
      </c>
      <c r="B32" t="s">
        <v>52</v>
      </c>
      <c r="C32">
        <v>1</v>
      </c>
      <c r="D32">
        <v>1</v>
      </c>
      <c r="E32">
        <v>12.6</v>
      </c>
      <c r="F32">
        <v>9</v>
      </c>
      <c r="G32">
        <v>1</v>
      </c>
      <c r="H32">
        <f t="shared" si="0"/>
        <v>21</v>
      </c>
      <c r="I32">
        <v>2</v>
      </c>
      <c r="J32">
        <v>1</v>
      </c>
      <c r="K32">
        <v>0.98</v>
      </c>
      <c r="L32">
        <v>2</v>
      </c>
      <c r="M32">
        <f>Tableau1[[#This Row],[Cl2free (mgCl2/L)]]/Tableau1[[#This Row],[Cl2 injected (mgCl2/L)]]</f>
        <v>0.15873015873015872</v>
      </c>
      <c r="N32">
        <v>2.96</v>
      </c>
      <c r="O32">
        <f>Tableau1[[#This Row],[Cl2total (mgCl2/L)]]/Tableau1[[#This Row],[Cl2 injected (mgCl2/L)]]</f>
        <v>0.23492063492063492</v>
      </c>
      <c r="P32">
        <v>8.59</v>
      </c>
      <c r="Q32">
        <v>110.4860556159291</v>
      </c>
      <c r="R32">
        <v>99.567909489272509</v>
      </c>
      <c r="S32">
        <f>Tableau1[[#This Row],[dioxane (microgram/L)]]/Tableau1[[#This Row],[Dioxane C0]]</f>
        <v>0.90118077737691915</v>
      </c>
      <c r="T32">
        <v>87.60396167109964</v>
      </c>
      <c r="U32">
        <v>71.172127491566386</v>
      </c>
      <c r="V32">
        <f>Tableau1[[#This Row],[sucralose (microgram/L]]/Tableau1[[#This Row],[sucralose C0 (microgram/L)]]</f>
        <v>0.81243046700073973</v>
      </c>
      <c r="W32">
        <v>61.168037497513417</v>
      </c>
      <c r="Y32">
        <v>0</v>
      </c>
      <c r="AB32" t="e">
        <f>Tableau1[[#This Row],[Carbamazepine (microgram/L)]]/Tableau1[[#This Row],[Carbamazepine C0 (microgram/L)]]</f>
        <v>#DIV/0!</v>
      </c>
    </row>
    <row r="33" spans="1:28" hidden="1" x14ac:dyDescent="0.25">
      <c r="A33" t="s">
        <v>39</v>
      </c>
      <c r="B33" t="s">
        <v>52</v>
      </c>
      <c r="C33">
        <v>1</v>
      </c>
      <c r="D33">
        <v>1</v>
      </c>
      <c r="E33">
        <v>12.6</v>
      </c>
      <c r="F33">
        <v>9</v>
      </c>
      <c r="G33">
        <v>2</v>
      </c>
      <c r="H33">
        <f t="shared" si="0"/>
        <v>22</v>
      </c>
      <c r="I33">
        <v>2</v>
      </c>
      <c r="J33">
        <v>1</v>
      </c>
      <c r="K33">
        <v>0.98</v>
      </c>
      <c r="L33">
        <v>1.24</v>
      </c>
      <c r="M33">
        <f>Tableau1[[#This Row],[Cl2free (mgCl2/L)]]/Tableau1[[#This Row],[Cl2 injected (mgCl2/L)]]</f>
        <v>9.841269841269841E-2</v>
      </c>
      <c r="N33">
        <v>1.82</v>
      </c>
      <c r="O33">
        <f>Tableau1[[#This Row],[Cl2total (mgCl2/L)]]/Tableau1[[#This Row],[Cl2 injected (mgCl2/L)]]</f>
        <v>0.14444444444444446</v>
      </c>
      <c r="P33">
        <v>8.5299999999999994</v>
      </c>
      <c r="Q33">
        <v>110.4860556159291</v>
      </c>
      <c r="R33">
        <v>86.78440020155108</v>
      </c>
      <c r="S33">
        <f>Tableau1[[#This Row],[dioxane (microgram/L)]]/Tableau1[[#This Row],[Dioxane C0]]</f>
        <v>0.78547830961791631</v>
      </c>
      <c r="T33">
        <v>87.60396167109964</v>
      </c>
      <c r="U33">
        <v>69.376982778961761</v>
      </c>
      <c r="V33">
        <f>Tableau1[[#This Row],[sucralose (microgram/L]]/Tableau1[[#This Row],[sucralose C0 (microgram/L)]]</f>
        <v>0.79193887417364461</v>
      </c>
      <c r="W33">
        <v>61.168037497513417</v>
      </c>
      <c r="Y33">
        <v>0</v>
      </c>
      <c r="AB33" t="e">
        <f>Tableau1[[#This Row],[Carbamazepine (microgram/L)]]/Tableau1[[#This Row],[Carbamazepine C0 (microgram/L)]]</f>
        <v>#DIV/0!</v>
      </c>
    </row>
    <row r="34" spans="1:28" hidden="1" x14ac:dyDescent="0.25">
      <c r="A34" t="s">
        <v>39</v>
      </c>
      <c r="B34" t="s">
        <v>52</v>
      </c>
      <c r="C34">
        <v>1</v>
      </c>
      <c r="D34">
        <v>1</v>
      </c>
      <c r="E34">
        <v>12.6</v>
      </c>
      <c r="F34">
        <v>9</v>
      </c>
      <c r="G34">
        <v>3</v>
      </c>
      <c r="H34">
        <f t="shared" ref="H34:H65" si="1">G34+20</f>
        <v>23</v>
      </c>
      <c r="I34">
        <v>2</v>
      </c>
      <c r="J34">
        <v>1</v>
      </c>
      <c r="K34">
        <v>0.98</v>
      </c>
      <c r="L34">
        <v>0.88</v>
      </c>
      <c r="M34">
        <f>Tableau1[[#This Row],[Cl2free (mgCl2/L)]]/Tableau1[[#This Row],[Cl2 injected (mgCl2/L)]]</f>
        <v>6.9841269841269843E-2</v>
      </c>
      <c r="N34">
        <v>1.08</v>
      </c>
      <c r="O34">
        <f>Tableau1[[#This Row],[Cl2total (mgCl2/L)]]/Tableau1[[#This Row],[Cl2 injected (mgCl2/L)]]</f>
        <v>8.5714285714285729E-2</v>
      </c>
      <c r="P34">
        <v>8.4600000000000009</v>
      </c>
      <c r="Q34">
        <v>110.4860556159291</v>
      </c>
      <c r="R34">
        <v>74.520098460305618</v>
      </c>
      <c r="S34">
        <f>Tableau1[[#This Row],[dioxane (microgram/L)]]/Tableau1[[#This Row],[Dioxane C0]]</f>
        <v>0.67447514570844935</v>
      </c>
      <c r="T34">
        <v>87.60396167109964</v>
      </c>
      <c r="U34">
        <v>77.325080551884597</v>
      </c>
      <c r="V34">
        <f>Tableau1[[#This Row],[sucralose (microgram/L]]/Tableau1[[#This Row],[sucralose C0 (microgram/L)]]</f>
        <v>0.8826664807944864</v>
      </c>
      <c r="W34">
        <v>61.168037497513417</v>
      </c>
      <c r="Y34">
        <v>0</v>
      </c>
      <c r="AB34" t="e">
        <f>Tableau1[[#This Row],[Carbamazepine (microgram/L)]]/Tableau1[[#This Row],[Carbamazepine C0 (microgram/L)]]</f>
        <v>#DIV/0!</v>
      </c>
    </row>
    <row r="35" spans="1:28" hidden="1" x14ac:dyDescent="0.25">
      <c r="A35" t="s">
        <v>39</v>
      </c>
      <c r="B35" t="s">
        <v>52</v>
      </c>
      <c r="C35">
        <v>1</v>
      </c>
      <c r="D35">
        <v>1</v>
      </c>
      <c r="E35">
        <v>12.6</v>
      </c>
      <c r="F35">
        <v>9</v>
      </c>
      <c r="G35">
        <v>4</v>
      </c>
      <c r="H35">
        <f t="shared" si="1"/>
        <v>24</v>
      </c>
      <c r="I35">
        <v>2</v>
      </c>
      <c r="J35">
        <v>1</v>
      </c>
      <c r="K35">
        <v>0.98</v>
      </c>
      <c r="L35">
        <v>0.61</v>
      </c>
      <c r="M35">
        <f>Tableau1[[#This Row],[Cl2free (mgCl2/L)]]/Tableau1[[#This Row],[Cl2 injected (mgCl2/L)]]</f>
        <v>4.8412698412698414E-2</v>
      </c>
      <c r="N35">
        <v>0.64</v>
      </c>
      <c r="O35">
        <f>Tableau1[[#This Row],[Cl2total (mgCl2/L)]]/Tableau1[[#This Row],[Cl2 injected (mgCl2/L)]]</f>
        <v>5.0793650793650794E-2</v>
      </c>
      <c r="P35">
        <v>8.4600000000000009</v>
      </c>
      <c r="Q35">
        <v>110.4860556159291</v>
      </c>
      <c r="R35">
        <v>61.896916543130182</v>
      </c>
      <c r="S35">
        <f>Tableau1[[#This Row],[dioxane (microgram/L)]]/Tableau1[[#This Row],[Dioxane C0]]</f>
        <v>0.56022378750035062</v>
      </c>
      <c r="T35">
        <v>87.60396167109964</v>
      </c>
      <c r="U35">
        <v>58.180630827165977</v>
      </c>
      <c r="V35">
        <f>Tableau1[[#This Row],[sucralose (microgram/L]]/Tableau1[[#This Row],[sucralose C0 (microgram/L)]]</f>
        <v>0.66413241727125727</v>
      </c>
      <c r="W35">
        <v>61.168037497513417</v>
      </c>
      <c r="Y35">
        <v>0</v>
      </c>
      <c r="AB35" t="e">
        <f>Tableau1[[#This Row],[Carbamazepine (microgram/L)]]/Tableau1[[#This Row],[Carbamazepine C0 (microgram/L)]]</f>
        <v>#DIV/0!</v>
      </c>
    </row>
    <row r="36" spans="1:28" hidden="1" x14ac:dyDescent="0.25">
      <c r="A36" t="s">
        <v>23</v>
      </c>
      <c r="B36" t="s">
        <v>52</v>
      </c>
      <c r="C36">
        <v>1</v>
      </c>
      <c r="D36">
        <v>1</v>
      </c>
      <c r="E36">
        <v>2</v>
      </c>
      <c r="F36">
        <v>5</v>
      </c>
      <c r="G36">
        <v>0</v>
      </c>
      <c r="H36">
        <f t="shared" si="1"/>
        <v>20</v>
      </c>
      <c r="I36">
        <v>2</v>
      </c>
      <c r="J36">
        <v>1</v>
      </c>
      <c r="K36">
        <v>0.98</v>
      </c>
      <c r="L36">
        <v>0.2</v>
      </c>
      <c r="M36">
        <f>Tableau1[[#This Row],[Cl2free (mgCl2/L)]]/Tableau1[[#This Row],[Cl2 injected (mgCl2/L)]]</f>
        <v>0.1</v>
      </c>
      <c r="N36">
        <v>1.78</v>
      </c>
      <c r="O36">
        <f>Tableau1[[#This Row],[Cl2total (mgCl2/L)]]/Tableau1[[#This Row],[Cl2 injected (mgCl2/L)]]</f>
        <v>0.89</v>
      </c>
      <c r="P36">
        <v>5.72</v>
      </c>
      <c r="Q36">
        <v>111.6</v>
      </c>
      <c r="R36">
        <v>111.6</v>
      </c>
      <c r="S36">
        <f>Tableau1[[#This Row],[dioxane (microgram/L)]]/Tableau1[[#This Row],[Dioxane C0]]</f>
        <v>1</v>
      </c>
      <c r="T36">
        <v>96.92</v>
      </c>
      <c r="U36">
        <v>96.92</v>
      </c>
      <c r="V36">
        <f>Tableau1[[#This Row],[sucralose (microgram/L]]/Tableau1[[#This Row],[sucralose C0 (microgram/L)]]</f>
        <v>1</v>
      </c>
      <c r="W36">
        <v>89.069398535817015</v>
      </c>
      <c r="X36">
        <v>89.069398535817015</v>
      </c>
      <c r="Y36">
        <f>Tableau1[[#This Row],[caffeine (microgram/L)]]/Tableau1[[#This Row],[caffeine C0 (microgram/L)]]</f>
        <v>1</v>
      </c>
      <c r="AB36" t="e">
        <f>Tableau1[[#This Row],[Carbamazepine (microgram/L)]]/Tableau1[[#This Row],[Carbamazepine C0 (microgram/L)]]</f>
        <v>#DIV/0!</v>
      </c>
    </row>
    <row r="37" spans="1:28" hidden="1" x14ac:dyDescent="0.25">
      <c r="A37" t="s">
        <v>23</v>
      </c>
      <c r="B37" t="s">
        <v>52</v>
      </c>
      <c r="C37">
        <v>1</v>
      </c>
      <c r="D37">
        <v>1</v>
      </c>
      <c r="E37">
        <v>2</v>
      </c>
      <c r="F37">
        <v>5</v>
      </c>
      <c r="G37">
        <v>0.5</v>
      </c>
      <c r="H37">
        <f t="shared" si="1"/>
        <v>20.5</v>
      </c>
      <c r="I37">
        <v>2</v>
      </c>
      <c r="J37">
        <v>1</v>
      </c>
      <c r="K37">
        <v>0.98</v>
      </c>
      <c r="L37">
        <v>0.15</v>
      </c>
      <c r="M37">
        <f>Tableau1[[#This Row],[Cl2free (mgCl2/L)]]/Tableau1[[#This Row],[Cl2 injected (mgCl2/L)]]</f>
        <v>7.4999999999999997E-2</v>
      </c>
      <c r="N37">
        <v>1.24</v>
      </c>
      <c r="O37">
        <f>Tableau1[[#This Row],[Cl2total (mgCl2/L)]]/Tableau1[[#This Row],[Cl2 injected (mgCl2/L)]]</f>
        <v>0.62</v>
      </c>
      <c r="P37">
        <v>5.58</v>
      </c>
      <c r="Q37">
        <v>111.6</v>
      </c>
      <c r="R37">
        <v>46.06</v>
      </c>
      <c r="S37">
        <f>Tableau1[[#This Row],[dioxane (microgram/L)]]/Tableau1[[#This Row],[Dioxane C0]]</f>
        <v>0.41272401433691758</v>
      </c>
      <c r="T37">
        <v>96.92</v>
      </c>
      <c r="U37">
        <v>73.45</v>
      </c>
      <c r="V37">
        <f>Tableau1[[#This Row],[sucralose (microgram/L]]/Tableau1[[#This Row],[sucralose C0 (microgram/L)]]</f>
        <v>0.75784151877837391</v>
      </c>
      <c r="W37">
        <v>89.069398535817015</v>
      </c>
      <c r="X37">
        <v>41.069672702226953</v>
      </c>
      <c r="Y37">
        <f>Tableau1[[#This Row],[caffeine (microgram/L)]]/Tableau1[[#This Row],[caffeine C0 (microgram/L)]]</f>
        <v>0.46109745184494333</v>
      </c>
      <c r="AB37" t="e">
        <f>Tableau1[[#This Row],[Carbamazepine (microgram/L)]]/Tableau1[[#This Row],[Carbamazepine C0 (microgram/L)]]</f>
        <v>#DIV/0!</v>
      </c>
    </row>
    <row r="38" spans="1:28" hidden="1" x14ac:dyDescent="0.25">
      <c r="A38" t="s">
        <v>23</v>
      </c>
      <c r="B38" t="s">
        <v>52</v>
      </c>
      <c r="C38">
        <v>1</v>
      </c>
      <c r="D38">
        <v>1</v>
      </c>
      <c r="E38">
        <v>2</v>
      </c>
      <c r="F38">
        <v>5</v>
      </c>
      <c r="G38">
        <v>1</v>
      </c>
      <c r="H38">
        <f t="shared" si="1"/>
        <v>21</v>
      </c>
      <c r="I38">
        <v>2</v>
      </c>
      <c r="J38">
        <v>1</v>
      </c>
      <c r="K38">
        <v>0.98</v>
      </c>
      <c r="L38">
        <v>0.08</v>
      </c>
      <c r="M38">
        <f>Tableau1[[#This Row],[Cl2free (mgCl2/L)]]/Tableau1[[#This Row],[Cl2 injected (mgCl2/L)]]</f>
        <v>0.04</v>
      </c>
      <c r="N38">
        <v>0.83</v>
      </c>
      <c r="O38">
        <f>Tableau1[[#This Row],[Cl2total (mgCl2/L)]]/Tableau1[[#This Row],[Cl2 injected (mgCl2/L)]]</f>
        <v>0.41499999999999998</v>
      </c>
      <c r="P38">
        <v>5.59</v>
      </c>
      <c r="Q38">
        <v>111.6</v>
      </c>
      <c r="R38">
        <v>39.15</v>
      </c>
      <c r="S38">
        <f>Tableau1[[#This Row],[dioxane (microgram/L)]]/Tableau1[[#This Row],[Dioxane C0]]</f>
        <v>0.35080645161290325</v>
      </c>
      <c r="T38">
        <v>96.92</v>
      </c>
      <c r="U38">
        <v>64.569999999999993</v>
      </c>
      <c r="V38">
        <f>Tableau1[[#This Row],[sucralose (microgram/L]]/Tableau1[[#This Row],[sucralose C0 (microgram/L)]]</f>
        <v>0.6662195625257944</v>
      </c>
      <c r="W38">
        <v>89.069398535817015</v>
      </c>
      <c r="X38">
        <v>23.799896128134861</v>
      </c>
      <c r="Y38">
        <f>Tableau1[[#This Row],[caffeine (microgram/L)]]/Tableau1[[#This Row],[caffeine C0 (microgram/L)]]</f>
        <v>0.26720620683841639</v>
      </c>
      <c r="AB38" t="e">
        <f>Tableau1[[#This Row],[Carbamazepine (microgram/L)]]/Tableau1[[#This Row],[Carbamazepine C0 (microgram/L)]]</f>
        <v>#DIV/0!</v>
      </c>
    </row>
    <row r="39" spans="1:28" hidden="1" x14ac:dyDescent="0.25">
      <c r="A39" t="s">
        <v>23</v>
      </c>
      <c r="B39" t="s">
        <v>52</v>
      </c>
      <c r="C39">
        <v>1</v>
      </c>
      <c r="D39">
        <v>1</v>
      </c>
      <c r="E39">
        <v>2</v>
      </c>
      <c r="F39">
        <v>5</v>
      </c>
      <c r="G39">
        <v>1.5</v>
      </c>
      <c r="H39">
        <f t="shared" si="1"/>
        <v>21.5</v>
      </c>
      <c r="I39">
        <v>2</v>
      </c>
      <c r="J39">
        <v>1</v>
      </c>
      <c r="K39">
        <v>0.98</v>
      </c>
      <c r="L39">
        <v>0.05</v>
      </c>
      <c r="M39">
        <f>Tableau1[[#This Row],[Cl2free (mgCl2/L)]]/Tableau1[[#This Row],[Cl2 injected (mgCl2/L)]]</f>
        <v>2.5000000000000001E-2</v>
      </c>
      <c r="N39">
        <v>0.54</v>
      </c>
      <c r="O39">
        <f>Tableau1[[#This Row],[Cl2total (mgCl2/L)]]/Tableau1[[#This Row],[Cl2 injected (mgCl2/L)]]</f>
        <v>0.27</v>
      </c>
      <c r="P39">
        <v>5.57</v>
      </c>
      <c r="Q39">
        <v>111.6</v>
      </c>
      <c r="R39">
        <v>34.71</v>
      </c>
      <c r="S39">
        <f>Tableau1[[#This Row],[dioxane (microgram/L)]]/Tableau1[[#This Row],[Dioxane C0]]</f>
        <v>0.3110215053763441</v>
      </c>
      <c r="T39">
        <v>96.92</v>
      </c>
      <c r="U39">
        <v>61.67</v>
      </c>
      <c r="V39">
        <f>Tableau1[[#This Row],[sucralose (microgram/L]]/Tableau1[[#This Row],[sucralose C0 (microgram/L)]]</f>
        <v>0.63629797771357821</v>
      </c>
      <c r="W39">
        <v>89.069398535817015</v>
      </c>
      <c r="X39">
        <v>16.956568077875019</v>
      </c>
      <c r="Y39">
        <f>Tableau1[[#This Row],[caffeine (microgram/L)]]/Tableau1[[#This Row],[caffeine C0 (microgram/L)]]</f>
        <v>0.19037479040634098</v>
      </c>
      <c r="AB39" t="e">
        <f>Tableau1[[#This Row],[Carbamazepine (microgram/L)]]/Tableau1[[#This Row],[Carbamazepine C0 (microgram/L)]]</f>
        <v>#DIV/0!</v>
      </c>
    </row>
    <row r="40" spans="1:28" hidden="1" x14ac:dyDescent="0.25">
      <c r="A40" t="s">
        <v>23</v>
      </c>
      <c r="B40" t="s">
        <v>52</v>
      </c>
      <c r="C40">
        <v>1</v>
      </c>
      <c r="D40">
        <v>1</v>
      </c>
      <c r="E40">
        <v>2</v>
      </c>
      <c r="F40">
        <v>5</v>
      </c>
      <c r="G40">
        <v>2</v>
      </c>
      <c r="H40">
        <f t="shared" si="1"/>
        <v>22</v>
      </c>
      <c r="I40">
        <v>2</v>
      </c>
      <c r="J40">
        <v>1</v>
      </c>
      <c r="K40">
        <v>0.98</v>
      </c>
      <c r="L40">
        <v>0.04</v>
      </c>
      <c r="M40">
        <f>Tableau1[[#This Row],[Cl2free (mgCl2/L)]]/Tableau1[[#This Row],[Cl2 injected (mgCl2/L)]]</f>
        <v>0.02</v>
      </c>
      <c r="N40">
        <v>0.36</v>
      </c>
      <c r="O40">
        <f>Tableau1[[#This Row],[Cl2total (mgCl2/L)]]/Tableau1[[#This Row],[Cl2 injected (mgCl2/L)]]</f>
        <v>0.18</v>
      </c>
      <c r="P40">
        <v>5.57</v>
      </c>
      <c r="Q40">
        <v>111.6</v>
      </c>
      <c r="R40">
        <v>29.96</v>
      </c>
      <c r="S40">
        <f>Tableau1[[#This Row],[dioxane (microgram/L)]]/Tableau1[[#This Row],[Dioxane C0]]</f>
        <v>0.26845878136200718</v>
      </c>
      <c r="T40">
        <v>96.92</v>
      </c>
      <c r="U40">
        <v>54.15</v>
      </c>
      <c r="V40">
        <f>Tableau1[[#This Row],[sucralose (microgram/L]]/Tableau1[[#This Row],[sucralose C0 (microgram/L)]]</f>
        <v>0.55870821295914153</v>
      </c>
      <c r="W40">
        <v>89.069398535817015</v>
      </c>
      <c r="X40">
        <v>13.21713088208975</v>
      </c>
      <c r="Y40">
        <f>Tableau1[[#This Row],[caffeine (microgram/L)]]/Tableau1[[#This Row],[caffeine C0 (microgram/L)]]</f>
        <v>0.1483913790747651</v>
      </c>
      <c r="AB40" t="e">
        <f>Tableau1[[#This Row],[Carbamazepine (microgram/L)]]/Tableau1[[#This Row],[Carbamazepine C0 (microgram/L)]]</f>
        <v>#DIV/0!</v>
      </c>
    </row>
    <row r="41" spans="1:28" hidden="1" x14ac:dyDescent="0.25">
      <c r="A41" t="s">
        <v>23</v>
      </c>
      <c r="B41" t="s">
        <v>52</v>
      </c>
      <c r="C41">
        <v>1</v>
      </c>
      <c r="D41">
        <v>1</v>
      </c>
      <c r="E41">
        <v>2</v>
      </c>
      <c r="F41">
        <v>5</v>
      </c>
      <c r="G41">
        <v>2.5</v>
      </c>
      <c r="H41">
        <f t="shared" si="1"/>
        <v>22.5</v>
      </c>
      <c r="I41">
        <v>2</v>
      </c>
      <c r="J41">
        <v>1</v>
      </c>
      <c r="K41">
        <v>0.98</v>
      </c>
      <c r="L41">
        <v>0.03</v>
      </c>
      <c r="M41">
        <f>Tableau1[[#This Row],[Cl2free (mgCl2/L)]]/Tableau1[[#This Row],[Cl2 injected (mgCl2/L)]]</f>
        <v>1.4999999999999999E-2</v>
      </c>
      <c r="N41">
        <v>0.23</v>
      </c>
      <c r="O41">
        <f>Tableau1[[#This Row],[Cl2total (mgCl2/L)]]/Tableau1[[#This Row],[Cl2 injected (mgCl2/L)]]</f>
        <v>0.115</v>
      </c>
      <c r="P41">
        <v>5.44</v>
      </c>
      <c r="Q41">
        <v>111.6</v>
      </c>
      <c r="R41">
        <v>25.61</v>
      </c>
      <c r="S41">
        <f>Tableau1[[#This Row],[dioxane (microgram/L)]]/Tableau1[[#This Row],[Dioxane C0]]</f>
        <v>0.22948028673835127</v>
      </c>
      <c r="T41">
        <v>96.92</v>
      </c>
      <c r="U41">
        <v>52.1</v>
      </c>
      <c r="V41">
        <f>Tableau1[[#This Row],[sucralose (microgram/L]]/Tableau1[[#This Row],[sucralose C0 (microgram/L)]]</f>
        <v>0.53755674783326457</v>
      </c>
      <c r="W41">
        <v>89.069398535817015</v>
      </c>
      <c r="X41">
        <v>11.392966012295011</v>
      </c>
      <c r="Y41">
        <f>Tableau1[[#This Row],[caffeine (microgram/L)]]/Tableau1[[#This Row],[caffeine C0 (microgram/L)]]</f>
        <v>0.12791111425001503</v>
      </c>
      <c r="AB41" t="e">
        <f>Tableau1[[#This Row],[Carbamazepine (microgram/L)]]/Tableau1[[#This Row],[Carbamazepine C0 (microgram/L)]]</f>
        <v>#DIV/0!</v>
      </c>
    </row>
    <row r="42" spans="1:28" hidden="1" x14ac:dyDescent="0.25">
      <c r="A42" t="s">
        <v>23</v>
      </c>
      <c r="B42" t="s">
        <v>52</v>
      </c>
      <c r="C42">
        <v>1</v>
      </c>
      <c r="D42">
        <v>1</v>
      </c>
      <c r="E42">
        <v>2</v>
      </c>
      <c r="F42">
        <v>5</v>
      </c>
      <c r="G42">
        <v>3</v>
      </c>
      <c r="H42">
        <f t="shared" si="1"/>
        <v>23</v>
      </c>
      <c r="I42">
        <v>2</v>
      </c>
      <c r="J42">
        <v>1</v>
      </c>
      <c r="K42">
        <v>0.98</v>
      </c>
      <c r="L42">
        <v>0.02</v>
      </c>
      <c r="M42">
        <f>Tableau1[[#This Row],[Cl2free (mgCl2/L)]]/Tableau1[[#This Row],[Cl2 injected (mgCl2/L)]]</f>
        <v>0.01</v>
      </c>
      <c r="N42">
        <v>0.15</v>
      </c>
      <c r="O42">
        <f>Tableau1[[#This Row],[Cl2total (mgCl2/L)]]/Tableau1[[#This Row],[Cl2 injected (mgCl2/L)]]</f>
        <v>7.4999999999999997E-2</v>
      </c>
      <c r="P42">
        <v>5.48</v>
      </c>
      <c r="Q42">
        <v>111.6</v>
      </c>
      <c r="R42">
        <v>22.48</v>
      </c>
      <c r="S42">
        <f>Tableau1[[#This Row],[dioxane (microgram/L)]]/Tableau1[[#This Row],[Dioxane C0]]</f>
        <v>0.2014336917562724</v>
      </c>
      <c r="T42">
        <v>96.92</v>
      </c>
      <c r="U42">
        <v>49.67</v>
      </c>
      <c r="V42">
        <f>Tableau1[[#This Row],[sucralose (microgram/L]]/Tableau1[[#This Row],[sucralose C0 (microgram/L)]]</f>
        <v>0.5124845233182006</v>
      </c>
      <c r="W42">
        <v>89.069398535817015</v>
      </c>
      <c r="X42">
        <v>10.47336440187939</v>
      </c>
      <c r="Y42">
        <f>Tableau1[[#This Row],[caffeine (microgram/L)]]/Tableau1[[#This Row],[caffeine C0 (microgram/L)]]</f>
        <v>0.1175865625461453</v>
      </c>
      <c r="AB42" t="e">
        <f>Tableau1[[#This Row],[Carbamazepine (microgram/L)]]/Tableau1[[#This Row],[Carbamazepine C0 (microgram/L)]]</f>
        <v>#DIV/0!</v>
      </c>
    </row>
    <row r="43" spans="1:28" hidden="1" x14ac:dyDescent="0.25">
      <c r="A43" t="s">
        <v>29</v>
      </c>
      <c r="B43" t="s">
        <v>52</v>
      </c>
      <c r="C43">
        <v>1</v>
      </c>
      <c r="D43">
        <v>1</v>
      </c>
      <c r="E43">
        <v>2</v>
      </c>
      <c r="F43">
        <v>7</v>
      </c>
      <c r="G43">
        <v>0</v>
      </c>
      <c r="H43">
        <f t="shared" si="1"/>
        <v>20</v>
      </c>
      <c r="I43">
        <v>2</v>
      </c>
      <c r="J43">
        <v>1</v>
      </c>
      <c r="K43">
        <v>0.98</v>
      </c>
      <c r="L43">
        <v>0.1</v>
      </c>
      <c r="M43">
        <f>Tableau1[[#This Row],[Cl2free (mgCl2/L)]]/Tableau1[[#This Row],[Cl2 injected (mgCl2/L)]]</f>
        <v>0.05</v>
      </c>
      <c r="N43">
        <v>1.86</v>
      </c>
      <c r="O43">
        <f>Tableau1[[#This Row],[Cl2total (mgCl2/L)]]/Tableau1[[#This Row],[Cl2 injected (mgCl2/L)]]</f>
        <v>0.93</v>
      </c>
      <c r="P43">
        <v>7.6</v>
      </c>
      <c r="Q43">
        <v>118.0363213141151</v>
      </c>
      <c r="R43">
        <v>118.0363213141151</v>
      </c>
      <c r="S43">
        <f>Tableau1[[#This Row],[dioxane (microgram/L)]]/Tableau1[[#This Row],[Dioxane C0]]</f>
        <v>1</v>
      </c>
      <c r="T43">
        <v>91.308302472225009</v>
      </c>
      <c r="U43">
        <v>91.308302472225009</v>
      </c>
      <c r="V43">
        <f>Tableau1[[#This Row],[sucralose (microgram/L]]/Tableau1[[#This Row],[sucralose C0 (microgram/L)]]</f>
        <v>1</v>
      </c>
      <c r="W43">
        <v>87.34</v>
      </c>
      <c r="X43">
        <v>87.34</v>
      </c>
      <c r="Y43">
        <v>1</v>
      </c>
      <c r="AB43" t="e">
        <f>Tableau1[[#This Row],[Carbamazepine (microgram/L)]]/Tableau1[[#This Row],[Carbamazepine C0 (microgram/L)]]</f>
        <v>#DIV/0!</v>
      </c>
    </row>
    <row r="44" spans="1:28" hidden="1" x14ac:dyDescent="0.25">
      <c r="A44" t="s">
        <v>29</v>
      </c>
      <c r="B44" t="s">
        <v>52</v>
      </c>
      <c r="C44">
        <v>1</v>
      </c>
      <c r="D44">
        <v>1</v>
      </c>
      <c r="E44">
        <v>2</v>
      </c>
      <c r="F44">
        <v>7</v>
      </c>
      <c r="G44">
        <v>1</v>
      </c>
      <c r="H44">
        <f t="shared" si="1"/>
        <v>21</v>
      </c>
      <c r="I44">
        <v>2</v>
      </c>
      <c r="J44">
        <v>1</v>
      </c>
      <c r="K44">
        <v>0.98</v>
      </c>
      <c r="L44">
        <v>0.04</v>
      </c>
      <c r="M44">
        <f>Tableau1[[#This Row],[Cl2free (mgCl2/L)]]/Tableau1[[#This Row],[Cl2 injected (mgCl2/L)]]</f>
        <v>0.02</v>
      </c>
      <c r="N44">
        <v>1.05</v>
      </c>
      <c r="O44">
        <f>Tableau1[[#This Row],[Cl2total (mgCl2/L)]]/Tableau1[[#This Row],[Cl2 injected (mgCl2/L)]]</f>
        <v>0.52500000000000002</v>
      </c>
      <c r="P44">
        <v>7.44</v>
      </c>
      <c r="Q44">
        <v>118.0363213141151</v>
      </c>
      <c r="R44">
        <v>64.897179754602419</v>
      </c>
      <c r="S44">
        <f>Tableau1[[#This Row],[dioxane (microgram/L)]]/Tableau1[[#This Row],[Dioxane C0]]</f>
        <v>0.5498068648030785</v>
      </c>
      <c r="T44">
        <v>91.308302472225009</v>
      </c>
      <c r="U44">
        <v>63.796667000300268</v>
      </c>
      <c r="V44">
        <f>Tableau1[[#This Row],[sucralose (microgram/L]]/Tableau1[[#This Row],[sucralose C0 (microgram/L)]]</f>
        <v>0.69869513804296735</v>
      </c>
      <c r="W44">
        <v>87.34</v>
      </c>
      <c r="X44">
        <v>21.05</v>
      </c>
      <c r="Y44">
        <v>0.24101213647813141</v>
      </c>
      <c r="AB44" t="e">
        <f>Tableau1[[#This Row],[Carbamazepine (microgram/L)]]/Tableau1[[#This Row],[Carbamazepine C0 (microgram/L)]]</f>
        <v>#DIV/0!</v>
      </c>
    </row>
    <row r="45" spans="1:28" hidden="1" x14ac:dyDescent="0.25">
      <c r="A45" t="s">
        <v>29</v>
      </c>
      <c r="B45" t="s">
        <v>52</v>
      </c>
      <c r="C45">
        <v>1</v>
      </c>
      <c r="D45">
        <v>1</v>
      </c>
      <c r="E45">
        <v>2</v>
      </c>
      <c r="F45">
        <v>7</v>
      </c>
      <c r="G45">
        <v>2</v>
      </c>
      <c r="H45">
        <f t="shared" si="1"/>
        <v>22</v>
      </c>
      <c r="I45">
        <v>2</v>
      </c>
      <c r="J45">
        <v>1</v>
      </c>
      <c r="K45">
        <v>0.98</v>
      </c>
      <c r="L45">
        <v>0.03</v>
      </c>
      <c r="M45">
        <f>Tableau1[[#This Row],[Cl2free (mgCl2/L)]]/Tableau1[[#This Row],[Cl2 injected (mgCl2/L)]]</f>
        <v>1.4999999999999999E-2</v>
      </c>
      <c r="N45">
        <v>0.56000000000000005</v>
      </c>
      <c r="O45">
        <f>Tableau1[[#This Row],[Cl2total (mgCl2/L)]]/Tableau1[[#This Row],[Cl2 injected (mgCl2/L)]]</f>
        <v>0.28000000000000003</v>
      </c>
      <c r="P45">
        <v>7.42</v>
      </c>
      <c r="Q45">
        <v>118.0363213141151</v>
      </c>
      <c r="R45">
        <v>56.943354249599707</v>
      </c>
      <c r="S45">
        <f>Tableau1[[#This Row],[dioxane (microgram/L)]]/Tableau1[[#This Row],[Dioxane C0]]</f>
        <v>0.48242230540261904</v>
      </c>
      <c r="T45">
        <v>91.308302472225009</v>
      </c>
      <c r="U45">
        <v>50.05467420678611</v>
      </c>
      <c r="V45">
        <f>Tableau1[[#This Row],[sucralose (microgram/L]]/Tableau1[[#This Row],[sucralose C0 (microgram/L)]]</f>
        <v>0.54819411654282146</v>
      </c>
      <c r="W45">
        <v>87.34</v>
      </c>
      <c r="X45">
        <v>12.19</v>
      </c>
      <c r="Y45">
        <v>0.139569498511564</v>
      </c>
      <c r="AB45" t="e">
        <f>Tableau1[[#This Row],[Carbamazepine (microgram/L)]]/Tableau1[[#This Row],[Carbamazepine C0 (microgram/L)]]</f>
        <v>#DIV/0!</v>
      </c>
    </row>
    <row r="46" spans="1:28" hidden="1" x14ac:dyDescent="0.25">
      <c r="A46" t="s">
        <v>29</v>
      </c>
      <c r="B46" t="s">
        <v>52</v>
      </c>
      <c r="C46">
        <v>1</v>
      </c>
      <c r="D46">
        <v>1</v>
      </c>
      <c r="E46">
        <v>2</v>
      </c>
      <c r="F46">
        <v>7</v>
      </c>
      <c r="G46">
        <v>3</v>
      </c>
      <c r="H46">
        <f t="shared" si="1"/>
        <v>23</v>
      </c>
      <c r="I46">
        <v>2</v>
      </c>
      <c r="J46">
        <v>1</v>
      </c>
      <c r="K46">
        <v>0.98</v>
      </c>
      <c r="L46">
        <v>0.01</v>
      </c>
      <c r="M46">
        <f>Tableau1[[#This Row],[Cl2free (mgCl2/L)]]/Tableau1[[#This Row],[Cl2 injected (mgCl2/L)]]</f>
        <v>5.0000000000000001E-3</v>
      </c>
      <c r="N46">
        <v>0.28999999999999998</v>
      </c>
      <c r="O46">
        <f>Tableau1[[#This Row],[Cl2total (mgCl2/L)]]/Tableau1[[#This Row],[Cl2 injected (mgCl2/L)]]</f>
        <v>0.14499999999999999</v>
      </c>
      <c r="P46">
        <v>7.41</v>
      </c>
      <c r="Q46">
        <v>118.0363213141151</v>
      </c>
      <c r="R46">
        <v>47.045377724559849</v>
      </c>
      <c r="S46">
        <f>Tableau1[[#This Row],[dioxane (microgram/L)]]/Tableau1[[#This Row],[Dioxane C0]]</f>
        <v>0.39856695973575751</v>
      </c>
      <c r="T46">
        <v>91.308302472225009</v>
      </c>
      <c r="U46">
        <v>45.492443198878988</v>
      </c>
      <c r="V46">
        <f>Tableau1[[#This Row],[sucralose (microgram/L]]/Tableau1[[#This Row],[sucralose C0 (microgram/L)]]</f>
        <v>0.49822898868059995</v>
      </c>
      <c r="W46">
        <v>87.34</v>
      </c>
      <c r="X46">
        <v>9.44</v>
      </c>
      <c r="Y46">
        <v>0.1080833524158461</v>
      </c>
      <c r="AB46" t="e">
        <f>Tableau1[[#This Row],[Carbamazepine (microgram/L)]]/Tableau1[[#This Row],[Carbamazepine C0 (microgram/L)]]</f>
        <v>#DIV/0!</v>
      </c>
    </row>
    <row r="47" spans="1:28" hidden="1" x14ac:dyDescent="0.25">
      <c r="A47" t="s">
        <v>29</v>
      </c>
      <c r="B47" t="s">
        <v>52</v>
      </c>
      <c r="C47">
        <v>1</v>
      </c>
      <c r="D47">
        <v>1</v>
      </c>
      <c r="E47">
        <v>2</v>
      </c>
      <c r="F47">
        <v>7</v>
      </c>
      <c r="G47">
        <v>4</v>
      </c>
      <c r="H47">
        <f t="shared" si="1"/>
        <v>24</v>
      </c>
      <c r="I47">
        <v>2</v>
      </c>
      <c r="J47">
        <v>1</v>
      </c>
      <c r="K47">
        <v>0.98</v>
      </c>
      <c r="L47">
        <v>0.01</v>
      </c>
      <c r="M47">
        <f>Tableau1[[#This Row],[Cl2free (mgCl2/L)]]/Tableau1[[#This Row],[Cl2 injected (mgCl2/L)]]</f>
        <v>5.0000000000000001E-3</v>
      </c>
      <c r="N47">
        <v>0.14000000000000001</v>
      </c>
      <c r="O47">
        <f>Tableau1[[#This Row],[Cl2total (mgCl2/L)]]/Tableau1[[#This Row],[Cl2 injected (mgCl2/L)]]</f>
        <v>7.0000000000000007E-2</v>
      </c>
      <c r="P47">
        <v>7.4</v>
      </c>
      <c r="Q47">
        <v>118.0363213141151</v>
      </c>
      <c r="R47">
        <v>45.078986835021318</v>
      </c>
      <c r="S47">
        <f>Tableau1[[#This Row],[dioxane (microgram/L)]]/Tableau1[[#This Row],[Dioxane C0]]</f>
        <v>0.38190775799474747</v>
      </c>
      <c r="T47">
        <v>91.308302472225009</v>
      </c>
      <c r="U47">
        <v>41.621459313382047</v>
      </c>
      <c r="V47">
        <f>Tableau1[[#This Row],[sucralose (microgram/L]]/Tableau1[[#This Row],[sucralose C0 (microgram/L)]]</f>
        <v>0.45583433473689694</v>
      </c>
      <c r="W47">
        <v>87.34</v>
      </c>
      <c r="X47">
        <v>7.37</v>
      </c>
      <c r="Y47">
        <v>8.4382871536523921E-2</v>
      </c>
      <c r="AB47" t="e">
        <f>Tableau1[[#This Row],[Carbamazepine (microgram/L)]]/Tableau1[[#This Row],[Carbamazepine C0 (microgram/L)]]</f>
        <v>#DIV/0!</v>
      </c>
    </row>
    <row r="48" spans="1:28" hidden="1" x14ac:dyDescent="0.25">
      <c r="A48" t="s">
        <v>29</v>
      </c>
      <c r="B48" t="s">
        <v>52</v>
      </c>
      <c r="C48">
        <v>1</v>
      </c>
      <c r="D48">
        <v>1</v>
      </c>
      <c r="E48">
        <v>2</v>
      </c>
      <c r="F48">
        <v>7</v>
      </c>
      <c r="G48">
        <v>5</v>
      </c>
      <c r="H48">
        <f t="shared" si="1"/>
        <v>25</v>
      </c>
      <c r="I48">
        <v>2</v>
      </c>
      <c r="J48">
        <v>1</v>
      </c>
      <c r="K48">
        <v>0.98</v>
      </c>
      <c r="L48">
        <v>0.01</v>
      </c>
      <c r="M48">
        <f>Tableau1[[#This Row],[Cl2free (mgCl2/L)]]/Tableau1[[#This Row],[Cl2 injected (mgCl2/L)]]</f>
        <v>5.0000000000000001E-3</v>
      </c>
      <c r="N48">
        <v>7.0000000000000007E-2</v>
      </c>
      <c r="O48">
        <f>Tableau1[[#This Row],[Cl2total (mgCl2/L)]]/Tableau1[[#This Row],[Cl2 injected (mgCl2/L)]]</f>
        <v>3.5000000000000003E-2</v>
      </c>
      <c r="P48">
        <v>7.39</v>
      </c>
      <c r="Q48">
        <v>118.0363213141151</v>
      </c>
      <c r="R48">
        <v>35.76551940939536</v>
      </c>
      <c r="S48">
        <f>Tableau1[[#This Row],[dioxane (microgram/L)]]/Tableau1[[#This Row],[Dioxane C0]]</f>
        <v>0.30300435502574768</v>
      </c>
      <c r="T48">
        <v>91.308302472225009</v>
      </c>
      <c r="U48">
        <v>40.515463917525778</v>
      </c>
      <c r="V48">
        <f>Tableau1[[#This Row],[sucralose (microgram/L]]/Tableau1[[#This Row],[sucralose C0 (microgram/L)]]</f>
        <v>0.44372157646726751</v>
      </c>
      <c r="W48">
        <v>87.34</v>
      </c>
      <c r="X48">
        <v>7.22</v>
      </c>
      <c r="Y48">
        <v>8.2665445385848399E-2</v>
      </c>
      <c r="AB48" t="e">
        <f>Tableau1[[#This Row],[Carbamazepine (microgram/L)]]/Tableau1[[#This Row],[Carbamazepine C0 (microgram/L)]]</f>
        <v>#DIV/0!</v>
      </c>
    </row>
    <row r="49" spans="1:28" hidden="1" x14ac:dyDescent="0.25">
      <c r="A49" t="s">
        <v>35</v>
      </c>
      <c r="B49" t="s">
        <v>52</v>
      </c>
      <c r="C49">
        <v>1</v>
      </c>
      <c r="D49">
        <v>1</v>
      </c>
      <c r="E49">
        <v>2</v>
      </c>
      <c r="F49">
        <v>9</v>
      </c>
      <c r="G49">
        <v>0</v>
      </c>
      <c r="H49">
        <f t="shared" si="1"/>
        <v>20</v>
      </c>
      <c r="I49">
        <v>2</v>
      </c>
      <c r="J49">
        <v>1</v>
      </c>
      <c r="K49">
        <v>0.98</v>
      </c>
      <c r="L49">
        <v>0.1</v>
      </c>
      <c r="M49">
        <f>Tableau1[[#This Row],[Cl2free (mgCl2/L)]]/Tableau1[[#This Row],[Cl2 injected (mgCl2/L)]]</f>
        <v>0.05</v>
      </c>
      <c r="N49">
        <v>1.86</v>
      </c>
      <c r="O49">
        <f>Tableau1[[#This Row],[Cl2total (mgCl2/L)]]/Tableau1[[#This Row],[Cl2 injected (mgCl2/L)]]</f>
        <v>0.93</v>
      </c>
      <c r="P49">
        <v>8.94</v>
      </c>
      <c r="Q49">
        <v>149.74120299646381</v>
      </c>
      <c r="R49">
        <v>149.74120299646381</v>
      </c>
      <c r="S49">
        <f>Tableau1[[#This Row],[dioxane (microgram/L)]]/Tableau1[[#This Row],[Dioxane C0]]</f>
        <v>1</v>
      </c>
      <c r="T49">
        <v>89.745985460988081</v>
      </c>
      <c r="U49">
        <v>89.745985460988081</v>
      </c>
      <c r="V49">
        <f>Tableau1[[#This Row],[sucralose (microgram/L]]/Tableau1[[#This Row],[sucralose C0 (microgram/L)]]</f>
        <v>1</v>
      </c>
      <c r="W49">
        <v>90.358332992854656</v>
      </c>
      <c r="X49">
        <v>90.358332992854656</v>
      </c>
      <c r="Y49">
        <v>1</v>
      </c>
      <c r="AB49" t="e">
        <f>Tableau1[[#This Row],[Carbamazepine (microgram/L)]]/Tableau1[[#This Row],[Carbamazepine C0 (microgram/L)]]</f>
        <v>#DIV/0!</v>
      </c>
    </row>
    <row r="50" spans="1:28" hidden="1" x14ac:dyDescent="0.25">
      <c r="A50" t="s">
        <v>35</v>
      </c>
      <c r="B50" t="s">
        <v>52</v>
      </c>
      <c r="C50">
        <v>1</v>
      </c>
      <c r="D50">
        <v>1</v>
      </c>
      <c r="E50">
        <v>2</v>
      </c>
      <c r="F50">
        <v>9</v>
      </c>
      <c r="G50">
        <v>1</v>
      </c>
      <c r="H50">
        <f t="shared" si="1"/>
        <v>21</v>
      </c>
      <c r="I50">
        <v>2</v>
      </c>
      <c r="J50">
        <v>1</v>
      </c>
      <c r="K50">
        <v>0.98</v>
      </c>
      <c r="L50">
        <v>0.04</v>
      </c>
      <c r="M50">
        <f>Tableau1[[#This Row],[Cl2free (mgCl2/L)]]/Tableau1[[#This Row],[Cl2 injected (mgCl2/L)]]</f>
        <v>0.02</v>
      </c>
      <c r="N50">
        <v>1.05</v>
      </c>
      <c r="O50">
        <f>Tableau1[[#This Row],[Cl2total (mgCl2/L)]]/Tableau1[[#This Row],[Cl2 injected (mgCl2/L)]]</f>
        <v>0.52500000000000002</v>
      </c>
      <c r="P50">
        <v>8.93</v>
      </c>
      <c r="Q50">
        <v>149.74120299646381</v>
      </c>
      <c r="R50">
        <v>74.528568042750791</v>
      </c>
      <c r="S50">
        <f>Tableau1[[#This Row],[dioxane (microgram/L)]]/Tableau1[[#This Row],[Dioxane C0]]</f>
        <v>0.49771583606491265</v>
      </c>
      <c r="T50">
        <v>89.745985460988081</v>
      </c>
      <c r="U50">
        <v>61.833883618671898</v>
      </c>
      <c r="V50">
        <f>Tableau1[[#This Row],[sucralose (microgram/L]]/Tableau1[[#This Row],[sucralose C0 (microgram/L)]]</f>
        <v>0.68898773912901801</v>
      </c>
      <c r="W50">
        <v>90.358332992854656</v>
      </c>
      <c r="X50">
        <v>21.51341154374542</v>
      </c>
      <c r="Y50">
        <v>0.23808995619083251</v>
      </c>
      <c r="AB50" t="e">
        <f>Tableau1[[#This Row],[Carbamazepine (microgram/L)]]/Tableau1[[#This Row],[Carbamazepine C0 (microgram/L)]]</f>
        <v>#DIV/0!</v>
      </c>
    </row>
    <row r="51" spans="1:28" hidden="1" x14ac:dyDescent="0.25">
      <c r="A51" t="s">
        <v>35</v>
      </c>
      <c r="B51" t="s">
        <v>52</v>
      </c>
      <c r="C51">
        <v>1</v>
      </c>
      <c r="D51">
        <v>1</v>
      </c>
      <c r="E51">
        <v>2</v>
      </c>
      <c r="F51">
        <v>9</v>
      </c>
      <c r="G51">
        <v>2</v>
      </c>
      <c r="H51">
        <f t="shared" si="1"/>
        <v>22</v>
      </c>
      <c r="I51">
        <v>2</v>
      </c>
      <c r="J51">
        <v>1</v>
      </c>
      <c r="K51">
        <v>0.98</v>
      </c>
      <c r="L51">
        <v>0.03</v>
      </c>
      <c r="M51">
        <f>Tableau1[[#This Row],[Cl2free (mgCl2/L)]]/Tableau1[[#This Row],[Cl2 injected (mgCl2/L)]]</f>
        <v>1.4999999999999999E-2</v>
      </c>
      <c r="N51">
        <v>0.56000000000000005</v>
      </c>
      <c r="O51">
        <f>Tableau1[[#This Row],[Cl2total (mgCl2/L)]]/Tableau1[[#This Row],[Cl2 injected (mgCl2/L)]]</f>
        <v>0.28000000000000003</v>
      </c>
      <c r="P51">
        <v>8.7899999999999991</v>
      </c>
      <c r="Q51">
        <v>149.74120299646381</v>
      </c>
      <c r="R51">
        <v>59.252791759969348</v>
      </c>
      <c r="S51">
        <f>Tableau1[[#This Row],[dioxane (microgram/L)]]/Tableau1[[#This Row],[Dioxane C0]]</f>
        <v>0.39570132050674539</v>
      </c>
      <c r="T51">
        <v>89.745985460988081</v>
      </c>
      <c r="U51">
        <v>50.083733385544548</v>
      </c>
      <c r="V51">
        <f>Tableau1[[#This Row],[sucralose (microgram/L]]/Tableau1[[#This Row],[sucralose C0 (microgram/L)]]</f>
        <v>0.55806098878167176</v>
      </c>
      <c r="W51">
        <v>90.358332992854656</v>
      </c>
      <c r="X51">
        <v>12.0285521047971</v>
      </c>
      <c r="Y51">
        <v>0.13312056239183051</v>
      </c>
      <c r="AB51" t="e">
        <f>Tableau1[[#This Row],[Carbamazepine (microgram/L)]]/Tableau1[[#This Row],[Carbamazepine C0 (microgram/L)]]</f>
        <v>#DIV/0!</v>
      </c>
    </row>
    <row r="52" spans="1:28" hidden="1" x14ac:dyDescent="0.25">
      <c r="A52" t="s">
        <v>35</v>
      </c>
      <c r="B52" t="s">
        <v>52</v>
      </c>
      <c r="C52">
        <v>1</v>
      </c>
      <c r="D52">
        <v>1</v>
      </c>
      <c r="E52">
        <v>2</v>
      </c>
      <c r="F52">
        <v>9</v>
      </c>
      <c r="G52">
        <v>3</v>
      </c>
      <c r="H52">
        <f t="shared" si="1"/>
        <v>23</v>
      </c>
      <c r="I52">
        <v>2</v>
      </c>
      <c r="J52">
        <v>1</v>
      </c>
      <c r="K52">
        <v>0.98</v>
      </c>
      <c r="L52">
        <v>0.01</v>
      </c>
      <c r="M52">
        <f>Tableau1[[#This Row],[Cl2free (mgCl2/L)]]/Tableau1[[#This Row],[Cl2 injected (mgCl2/L)]]</f>
        <v>5.0000000000000001E-3</v>
      </c>
      <c r="N52">
        <v>0.28999999999999998</v>
      </c>
      <c r="O52">
        <f>Tableau1[[#This Row],[Cl2total (mgCl2/L)]]/Tableau1[[#This Row],[Cl2 injected (mgCl2/L)]]</f>
        <v>0.14499999999999999</v>
      </c>
      <c r="P52">
        <v>8.7200000000000006</v>
      </c>
      <c r="Q52">
        <v>149.74120299646381</v>
      </c>
      <c r="R52">
        <v>46.953471370413908</v>
      </c>
      <c r="S52">
        <f>Tableau1[[#This Row],[dioxane (microgram/L)]]/Tableau1[[#This Row],[Dioxane C0]]</f>
        <v>0.31356413886645967</v>
      </c>
      <c r="T52">
        <v>89.745985460988081</v>
      </c>
      <c r="U52">
        <v>43.700317688402407</v>
      </c>
      <c r="V52">
        <f>Tableau1[[#This Row],[sucralose (microgram/L]]/Tableau1[[#This Row],[sucralose C0 (microgram/L)]]</f>
        <v>0.48693339834569666</v>
      </c>
      <c r="W52">
        <v>90.358332992854656</v>
      </c>
      <c r="X52">
        <v>8.6015145999083558</v>
      </c>
      <c r="Y52">
        <v>9.5193374147224979E-2</v>
      </c>
      <c r="AB52" t="e">
        <f>Tableau1[[#This Row],[Carbamazepine (microgram/L)]]/Tableau1[[#This Row],[Carbamazepine C0 (microgram/L)]]</f>
        <v>#DIV/0!</v>
      </c>
    </row>
    <row r="53" spans="1:28" hidden="1" x14ac:dyDescent="0.25">
      <c r="A53" t="s">
        <v>35</v>
      </c>
      <c r="B53" t="s">
        <v>52</v>
      </c>
      <c r="C53">
        <v>1</v>
      </c>
      <c r="D53">
        <v>1</v>
      </c>
      <c r="E53">
        <v>2</v>
      </c>
      <c r="F53">
        <v>9</v>
      </c>
      <c r="G53">
        <v>4</v>
      </c>
      <c r="H53">
        <f t="shared" si="1"/>
        <v>24</v>
      </c>
      <c r="I53">
        <v>2</v>
      </c>
      <c r="J53">
        <v>1</v>
      </c>
      <c r="K53">
        <v>0.98</v>
      </c>
      <c r="L53">
        <v>0.01</v>
      </c>
      <c r="M53">
        <f>Tableau1[[#This Row],[Cl2free (mgCl2/L)]]/Tableau1[[#This Row],[Cl2 injected (mgCl2/L)]]</f>
        <v>5.0000000000000001E-3</v>
      </c>
      <c r="N53">
        <v>0.14000000000000001</v>
      </c>
      <c r="O53">
        <f>Tableau1[[#This Row],[Cl2total (mgCl2/L)]]/Tableau1[[#This Row],[Cl2 injected (mgCl2/L)]]</f>
        <v>7.0000000000000007E-2</v>
      </c>
      <c r="P53">
        <v>8.7100000000000009</v>
      </c>
      <c r="Q53">
        <v>149.74120299646381</v>
      </c>
      <c r="R53">
        <v>43.074073576347658</v>
      </c>
      <c r="S53">
        <f>Tableau1[[#This Row],[dioxane (microgram/L)]]/Tableau1[[#This Row],[Dioxane C0]]</f>
        <v>0.28765678860857602</v>
      </c>
      <c r="T53">
        <v>89.745985460988081</v>
      </c>
      <c r="U53">
        <v>33.889893565081373</v>
      </c>
      <c r="V53">
        <f>Tableau1[[#This Row],[sucralose (microgram/L]]/Tableau1[[#This Row],[sucralose C0 (microgram/L)]]</f>
        <v>0.37762016196048187</v>
      </c>
      <c r="W53">
        <v>90.358332992854656</v>
      </c>
      <c r="X53">
        <v>7.3652052135023283</v>
      </c>
      <c r="Y53">
        <v>8.1511078940386741E-2</v>
      </c>
      <c r="AB53" t="e">
        <f>Tableau1[[#This Row],[Carbamazepine (microgram/L)]]/Tableau1[[#This Row],[Carbamazepine C0 (microgram/L)]]</f>
        <v>#DIV/0!</v>
      </c>
    </row>
    <row r="54" spans="1:28" hidden="1" x14ac:dyDescent="0.25">
      <c r="A54" t="s">
        <v>24</v>
      </c>
      <c r="B54" t="s">
        <v>52</v>
      </c>
      <c r="C54">
        <v>1</v>
      </c>
      <c r="D54">
        <v>1</v>
      </c>
      <c r="E54">
        <v>5</v>
      </c>
      <c r="F54">
        <v>5</v>
      </c>
      <c r="G54">
        <v>0</v>
      </c>
      <c r="H54">
        <f t="shared" si="1"/>
        <v>20</v>
      </c>
      <c r="I54">
        <v>2</v>
      </c>
      <c r="J54">
        <v>1</v>
      </c>
      <c r="K54">
        <v>0.98</v>
      </c>
      <c r="L54">
        <v>0.08</v>
      </c>
      <c r="M54">
        <f>Tableau1[[#This Row],[Cl2free (mgCl2/L)]]/Tableau1[[#This Row],[Cl2 injected (mgCl2/L)]]</f>
        <v>1.6E-2</v>
      </c>
      <c r="N54">
        <v>4.4800000000000004</v>
      </c>
      <c r="O54">
        <f>Tableau1[[#This Row],[Cl2total (mgCl2/L)]]/Tableau1[[#This Row],[Cl2 injected (mgCl2/L)]]</f>
        <v>0.89600000000000013</v>
      </c>
      <c r="P54">
        <v>5.62</v>
      </c>
      <c r="Q54">
        <v>93.58</v>
      </c>
      <c r="R54">
        <v>93.58</v>
      </c>
      <c r="S54">
        <f>Tableau1[[#This Row],[dioxane (microgram/L)]]/Tableau1[[#This Row],[Dioxane C0]]</f>
        <v>1</v>
      </c>
      <c r="T54">
        <v>97.14</v>
      </c>
      <c r="U54">
        <v>97.14</v>
      </c>
      <c r="V54">
        <f>Tableau1[[#This Row],[sucralose (microgram/L]]/Tableau1[[#This Row],[sucralose C0 (microgram/L)]]</f>
        <v>1</v>
      </c>
      <c r="W54">
        <v>70.201083540212707</v>
      </c>
      <c r="X54">
        <v>70.201083540212707</v>
      </c>
      <c r="Y54">
        <f>Tableau1[[#This Row],[caffeine (microgram/L)]]/Tableau1[[#This Row],[caffeine C0 (microgram/L)]]</f>
        <v>1</v>
      </c>
      <c r="AB54" t="e">
        <f>Tableau1[[#This Row],[Carbamazepine (microgram/L)]]/Tableau1[[#This Row],[Carbamazepine C0 (microgram/L)]]</f>
        <v>#DIV/0!</v>
      </c>
    </row>
    <row r="55" spans="1:28" hidden="1" x14ac:dyDescent="0.25">
      <c r="A55" t="s">
        <v>24</v>
      </c>
      <c r="B55" t="s">
        <v>52</v>
      </c>
      <c r="C55">
        <v>1</v>
      </c>
      <c r="D55">
        <v>1</v>
      </c>
      <c r="E55">
        <v>5</v>
      </c>
      <c r="F55">
        <v>5</v>
      </c>
      <c r="G55">
        <v>0.5</v>
      </c>
      <c r="H55">
        <f t="shared" si="1"/>
        <v>20.5</v>
      </c>
      <c r="I55">
        <v>2</v>
      </c>
      <c r="J55">
        <v>1</v>
      </c>
      <c r="K55">
        <v>0.98</v>
      </c>
      <c r="L55">
        <v>0.16</v>
      </c>
      <c r="M55">
        <f>Tableau1[[#This Row],[Cl2free (mgCl2/L)]]/Tableau1[[#This Row],[Cl2 injected (mgCl2/L)]]</f>
        <v>3.2000000000000001E-2</v>
      </c>
      <c r="N55">
        <v>3.32</v>
      </c>
      <c r="O55">
        <f>Tableau1[[#This Row],[Cl2total (mgCl2/L)]]/Tableau1[[#This Row],[Cl2 injected (mgCl2/L)]]</f>
        <v>0.66399999999999992</v>
      </c>
      <c r="P55">
        <v>5.52</v>
      </c>
      <c r="Q55">
        <v>93.58</v>
      </c>
      <c r="R55">
        <v>52.58</v>
      </c>
      <c r="S55">
        <f>Tableau1[[#This Row],[dioxane (microgram/L)]]/Tableau1[[#This Row],[Dioxane C0]]</f>
        <v>0.56187219491344309</v>
      </c>
      <c r="T55">
        <v>97.14</v>
      </c>
      <c r="U55">
        <v>72.81</v>
      </c>
      <c r="V55">
        <f>Tableau1[[#This Row],[sucralose (microgram/L]]/Tableau1[[#This Row],[sucralose C0 (microgram/L)]]</f>
        <v>0.74953675108091411</v>
      </c>
      <c r="W55">
        <v>70.201083540212707</v>
      </c>
      <c r="X55">
        <v>27.06615294339505</v>
      </c>
      <c r="Y55">
        <f>Tableau1[[#This Row],[caffeine (microgram/L)]]/Tableau1[[#This Row],[caffeine C0 (microgram/L)]]</f>
        <v>0.38555178322697781</v>
      </c>
      <c r="AB55" t="e">
        <f>Tableau1[[#This Row],[Carbamazepine (microgram/L)]]/Tableau1[[#This Row],[Carbamazepine C0 (microgram/L)]]</f>
        <v>#DIV/0!</v>
      </c>
    </row>
    <row r="56" spans="1:28" hidden="1" x14ac:dyDescent="0.25">
      <c r="A56" t="s">
        <v>24</v>
      </c>
      <c r="B56" t="s">
        <v>52</v>
      </c>
      <c r="C56">
        <v>1</v>
      </c>
      <c r="D56">
        <v>1</v>
      </c>
      <c r="E56">
        <v>5</v>
      </c>
      <c r="F56">
        <v>5</v>
      </c>
      <c r="G56">
        <v>1</v>
      </c>
      <c r="H56">
        <f t="shared" si="1"/>
        <v>21</v>
      </c>
      <c r="I56">
        <v>2</v>
      </c>
      <c r="J56">
        <v>1</v>
      </c>
      <c r="K56">
        <v>0.98</v>
      </c>
      <c r="L56">
        <v>0.04</v>
      </c>
      <c r="M56">
        <f>Tableau1[[#This Row],[Cl2free (mgCl2/L)]]/Tableau1[[#This Row],[Cl2 injected (mgCl2/L)]]</f>
        <v>8.0000000000000002E-3</v>
      </c>
      <c r="N56">
        <v>2.56</v>
      </c>
      <c r="O56">
        <f>Tableau1[[#This Row],[Cl2total (mgCl2/L)]]/Tableau1[[#This Row],[Cl2 injected (mgCl2/L)]]</f>
        <v>0.51200000000000001</v>
      </c>
      <c r="P56">
        <v>5.34</v>
      </c>
      <c r="Q56">
        <v>93.58</v>
      </c>
      <c r="R56">
        <v>36.479999999999997</v>
      </c>
      <c r="S56">
        <f>Tableau1[[#This Row],[dioxane (microgram/L)]]/Tableau1[[#This Row],[Dioxane C0]]</f>
        <v>0.38982688608677063</v>
      </c>
      <c r="T56">
        <v>97.14</v>
      </c>
      <c r="U56">
        <v>72.59</v>
      </c>
      <c r="V56">
        <f>Tableau1[[#This Row],[sucralose (microgram/L]]/Tableau1[[#This Row],[sucralose C0 (microgram/L)]]</f>
        <v>0.74727197858760552</v>
      </c>
      <c r="W56">
        <v>70.201083540212707</v>
      </c>
      <c r="X56">
        <v>10.31230287579497</v>
      </c>
      <c r="Y56">
        <f>Tableau1[[#This Row],[caffeine (microgram/L)]]/Tableau1[[#This Row],[caffeine C0 (microgram/L)]]</f>
        <v>0.14689663400833206</v>
      </c>
      <c r="AB56" t="e">
        <f>Tableau1[[#This Row],[Carbamazepine (microgram/L)]]/Tableau1[[#This Row],[Carbamazepine C0 (microgram/L)]]</f>
        <v>#DIV/0!</v>
      </c>
    </row>
    <row r="57" spans="1:28" hidden="1" x14ac:dyDescent="0.25">
      <c r="A57" t="s">
        <v>24</v>
      </c>
      <c r="B57" t="s">
        <v>52</v>
      </c>
      <c r="C57">
        <v>1</v>
      </c>
      <c r="D57">
        <v>1</v>
      </c>
      <c r="E57">
        <v>5</v>
      </c>
      <c r="F57">
        <v>5</v>
      </c>
      <c r="G57">
        <v>1.5</v>
      </c>
      <c r="H57">
        <f t="shared" si="1"/>
        <v>21.5</v>
      </c>
      <c r="I57">
        <v>2</v>
      </c>
      <c r="J57">
        <v>1</v>
      </c>
      <c r="K57">
        <v>0.98</v>
      </c>
      <c r="L57">
        <v>0.04</v>
      </c>
      <c r="M57">
        <f>Tableau1[[#This Row],[Cl2free (mgCl2/L)]]/Tableau1[[#This Row],[Cl2 injected (mgCl2/L)]]</f>
        <v>8.0000000000000002E-3</v>
      </c>
      <c r="N57">
        <v>1.76</v>
      </c>
      <c r="O57">
        <f>Tableau1[[#This Row],[Cl2total (mgCl2/L)]]/Tableau1[[#This Row],[Cl2 injected (mgCl2/L)]]</f>
        <v>0.35199999999999998</v>
      </c>
      <c r="P57">
        <v>5.21</v>
      </c>
      <c r="Q57">
        <v>93.58</v>
      </c>
      <c r="R57">
        <v>20.27</v>
      </c>
      <c r="S57">
        <f>Tableau1[[#This Row],[dioxane (microgram/L)]]/Tableau1[[#This Row],[Dioxane C0]]</f>
        <v>0.21660611241718317</v>
      </c>
      <c r="T57">
        <v>97.14</v>
      </c>
      <c r="U57">
        <v>55.42</v>
      </c>
      <c r="V57">
        <f>Tableau1[[#This Row],[sucralose (microgram/L]]/Tableau1[[#This Row],[sucralose C0 (microgram/L)]]</f>
        <v>0.57051677990529137</v>
      </c>
      <c r="W57">
        <v>70.201083540212707</v>
      </c>
      <c r="X57">
        <v>3.74669738745673</v>
      </c>
      <c r="Y57">
        <f>Tableau1[[#This Row],[caffeine (microgram/L)]]/Tableau1[[#This Row],[caffeine C0 (microgram/L)]]</f>
        <v>5.3370933873271915E-2</v>
      </c>
      <c r="AB57" t="e">
        <f>Tableau1[[#This Row],[Carbamazepine (microgram/L)]]/Tableau1[[#This Row],[Carbamazepine C0 (microgram/L)]]</f>
        <v>#DIV/0!</v>
      </c>
    </row>
    <row r="58" spans="1:28" hidden="1" x14ac:dyDescent="0.25">
      <c r="A58" t="s">
        <v>24</v>
      </c>
      <c r="B58" t="s">
        <v>52</v>
      </c>
      <c r="C58">
        <v>1</v>
      </c>
      <c r="D58">
        <v>1</v>
      </c>
      <c r="E58">
        <v>5</v>
      </c>
      <c r="F58">
        <v>5</v>
      </c>
      <c r="G58">
        <v>2</v>
      </c>
      <c r="H58">
        <f t="shared" si="1"/>
        <v>22</v>
      </c>
      <c r="I58">
        <v>2</v>
      </c>
      <c r="J58">
        <v>1</v>
      </c>
      <c r="K58">
        <v>0.98</v>
      </c>
      <c r="L58">
        <v>0.03</v>
      </c>
      <c r="M58">
        <f>Tableau1[[#This Row],[Cl2free (mgCl2/L)]]/Tableau1[[#This Row],[Cl2 injected (mgCl2/L)]]</f>
        <v>6.0000000000000001E-3</v>
      </c>
      <c r="N58">
        <v>1.25</v>
      </c>
      <c r="O58">
        <f>Tableau1[[#This Row],[Cl2total (mgCl2/L)]]/Tableau1[[#This Row],[Cl2 injected (mgCl2/L)]]</f>
        <v>0.25</v>
      </c>
      <c r="P58">
        <v>5.13</v>
      </c>
      <c r="Q58">
        <v>93.58</v>
      </c>
      <c r="R58">
        <v>16.16</v>
      </c>
      <c r="S58">
        <f>Tableau1[[#This Row],[dioxane (microgram/L)]]/Tableau1[[#This Row],[Dioxane C0]]</f>
        <v>0.17268647146826246</v>
      </c>
      <c r="T58">
        <v>97.14</v>
      </c>
      <c r="U58">
        <v>43.2</v>
      </c>
      <c r="V58">
        <f>Tableau1[[#This Row],[sucralose (microgram/L]]/Tableau1[[#This Row],[sucralose C0 (microgram/L)]]</f>
        <v>0.44471896232242125</v>
      </c>
      <c r="W58">
        <v>70.201083540212707</v>
      </c>
      <c r="X58">
        <v>1.3476147311634039</v>
      </c>
      <c r="Y58">
        <f>Tableau1[[#This Row],[caffeine (microgram/L)]]/Tableau1[[#This Row],[caffeine C0 (microgram/L)]]</f>
        <v>1.9196494743438836E-2</v>
      </c>
      <c r="AB58" t="e">
        <f>Tableau1[[#This Row],[Carbamazepine (microgram/L)]]/Tableau1[[#This Row],[Carbamazepine C0 (microgram/L)]]</f>
        <v>#DIV/0!</v>
      </c>
    </row>
    <row r="59" spans="1:28" hidden="1" x14ac:dyDescent="0.25">
      <c r="A59" t="s">
        <v>24</v>
      </c>
      <c r="B59" t="s">
        <v>52</v>
      </c>
      <c r="C59">
        <v>1</v>
      </c>
      <c r="D59">
        <v>1</v>
      </c>
      <c r="E59">
        <v>5</v>
      </c>
      <c r="F59">
        <v>5</v>
      </c>
      <c r="G59">
        <v>2.5</v>
      </c>
      <c r="H59">
        <f t="shared" si="1"/>
        <v>22.5</v>
      </c>
      <c r="I59">
        <v>2</v>
      </c>
      <c r="J59">
        <v>1</v>
      </c>
      <c r="K59">
        <v>0.98</v>
      </c>
      <c r="L59">
        <v>0.01</v>
      </c>
      <c r="M59">
        <f>Tableau1[[#This Row],[Cl2free (mgCl2/L)]]/Tableau1[[#This Row],[Cl2 injected (mgCl2/L)]]</f>
        <v>2E-3</v>
      </c>
      <c r="N59">
        <v>0.86</v>
      </c>
      <c r="O59">
        <f>Tableau1[[#This Row],[Cl2total (mgCl2/L)]]/Tableau1[[#This Row],[Cl2 injected (mgCl2/L)]]</f>
        <v>0.17199999999999999</v>
      </c>
      <c r="P59">
        <v>5.08</v>
      </c>
      <c r="Q59">
        <v>93.58</v>
      </c>
      <c r="R59">
        <v>5.67</v>
      </c>
      <c r="S59">
        <f>Tableau1[[#This Row],[dioxane (microgram/L)]]/Tableau1[[#This Row],[Dioxane C0]]</f>
        <v>6.0589869630262874E-2</v>
      </c>
      <c r="T59">
        <v>97.14</v>
      </c>
      <c r="U59">
        <v>35.81</v>
      </c>
      <c r="V59">
        <f>Tableau1[[#This Row],[sucralose (microgram/L]]/Tableau1[[#This Row],[sucralose C0 (microgram/L)]]</f>
        <v>0.3686431953880997</v>
      </c>
      <c r="W59">
        <v>70.201083540212707</v>
      </c>
      <c r="X59">
        <v>0.44070083245943692</v>
      </c>
      <c r="Y59">
        <f>Tableau1[[#This Row],[caffeine (microgram/L)]]/Tableau1[[#This Row],[caffeine C0 (microgram/L)]]</f>
        <v>6.277692739699579E-3</v>
      </c>
      <c r="AB59" t="e">
        <f>Tableau1[[#This Row],[Carbamazepine (microgram/L)]]/Tableau1[[#This Row],[Carbamazepine C0 (microgram/L)]]</f>
        <v>#DIV/0!</v>
      </c>
    </row>
    <row r="60" spans="1:28" hidden="1" x14ac:dyDescent="0.25">
      <c r="A60" t="s">
        <v>24</v>
      </c>
      <c r="B60" t="s">
        <v>52</v>
      </c>
      <c r="C60">
        <v>1</v>
      </c>
      <c r="D60">
        <v>1</v>
      </c>
      <c r="E60">
        <v>5</v>
      </c>
      <c r="F60">
        <v>5</v>
      </c>
      <c r="G60">
        <v>3</v>
      </c>
      <c r="H60">
        <f t="shared" si="1"/>
        <v>23</v>
      </c>
      <c r="I60">
        <v>2</v>
      </c>
      <c r="J60">
        <v>1</v>
      </c>
      <c r="K60">
        <v>0.98</v>
      </c>
      <c r="L60">
        <v>0.01</v>
      </c>
      <c r="M60">
        <f>Tableau1[[#This Row],[Cl2free (mgCl2/L)]]/Tableau1[[#This Row],[Cl2 injected (mgCl2/L)]]</f>
        <v>2E-3</v>
      </c>
      <c r="N60">
        <v>0.62</v>
      </c>
      <c r="O60">
        <f>Tableau1[[#This Row],[Cl2total (mgCl2/L)]]/Tableau1[[#This Row],[Cl2 injected (mgCl2/L)]]</f>
        <v>0.124</v>
      </c>
      <c r="P60">
        <v>5.16</v>
      </c>
      <c r="Q60">
        <v>93.58</v>
      </c>
      <c r="R60">
        <v>1.79</v>
      </c>
      <c r="S60">
        <f>Tableau1[[#This Row],[dioxane (microgram/L)]]/Tableau1[[#This Row],[Dioxane C0]]</f>
        <v>1.9128018807437489E-2</v>
      </c>
      <c r="T60">
        <v>97.14</v>
      </c>
      <c r="U60">
        <v>30.89</v>
      </c>
      <c r="V60">
        <f>Tableau1[[#This Row],[sucralose (microgram/L]]/Tableau1[[#This Row],[sucralose C0 (microgram/L)]]</f>
        <v>0.31799464690137946</v>
      </c>
      <c r="W60">
        <v>70.201083540212707</v>
      </c>
      <c r="X60">
        <v>0</v>
      </c>
      <c r="Y60">
        <f>Tableau1[[#This Row],[caffeine (microgram/L)]]/Tableau1[[#This Row],[caffeine C0 (microgram/L)]]</f>
        <v>0</v>
      </c>
      <c r="AB60" t="e">
        <f>Tableau1[[#This Row],[Carbamazepine (microgram/L)]]/Tableau1[[#This Row],[Carbamazepine C0 (microgram/L)]]</f>
        <v>#DIV/0!</v>
      </c>
    </row>
    <row r="61" spans="1:28" hidden="1" x14ac:dyDescent="0.25">
      <c r="A61" t="s">
        <v>30</v>
      </c>
      <c r="B61" t="s">
        <v>52</v>
      </c>
      <c r="C61">
        <v>1</v>
      </c>
      <c r="D61">
        <v>1</v>
      </c>
      <c r="E61">
        <v>5</v>
      </c>
      <c r="F61">
        <v>7</v>
      </c>
      <c r="G61">
        <v>0</v>
      </c>
      <c r="H61">
        <f t="shared" si="1"/>
        <v>20</v>
      </c>
      <c r="I61">
        <v>2</v>
      </c>
      <c r="J61">
        <v>1</v>
      </c>
      <c r="K61">
        <v>0.98</v>
      </c>
      <c r="L61">
        <v>0.12</v>
      </c>
      <c r="M61">
        <f>Tableau1[[#This Row],[Cl2free (mgCl2/L)]]/Tableau1[[#This Row],[Cl2 injected (mgCl2/L)]]</f>
        <v>2.4E-2</v>
      </c>
      <c r="N61">
        <v>4.04</v>
      </c>
      <c r="O61">
        <f>Tableau1[[#This Row],[Cl2total (mgCl2/L)]]/Tableau1[[#This Row],[Cl2 injected (mgCl2/L)]]</f>
        <v>0.80800000000000005</v>
      </c>
      <c r="P61">
        <v>7.45</v>
      </c>
      <c r="Q61">
        <v>100.2218233668322</v>
      </c>
      <c r="R61">
        <v>100.2218233668322</v>
      </c>
      <c r="S61">
        <f>Tableau1[[#This Row],[dioxane (microgram/L)]]/Tableau1[[#This Row],[Dioxane C0]]</f>
        <v>1</v>
      </c>
      <c r="T61">
        <v>83.179236312681411</v>
      </c>
      <c r="U61">
        <v>83.179236312681411</v>
      </c>
      <c r="V61">
        <f>Tableau1[[#This Row],[sucralose (microgram/L]]/Tableau1[[#This Row],[sucralose C0 (microgram/L)]]</f>
        <v>1</v>
      </c>
      <c r="W61">
        <v>70.201083540212707</v>
      </c>
      <c r="Y61">
        <v>0</v>
      </c>
      <c r="AB61" t="e">
        <f>Tableau1[[#This Row],[Carbamazepine (microgram/L)]]/Tableau1[[#This Row],[Carbamazepine C0 (microgram/L)]]</f>
        <v>#DIV/0!</v>
      </c>
    </row>
    <row r="62" spans="1:28" hidden="1" x14ac:dyDescent="0.25">
      <c r="A62" t="s">
        <v>30</v>
      </c>
      <c r="B62" t="s">
        <v>52</v>
      </c>
      <c r="C62">
        <v>1</v>
      </c>
      <c r="D62">
        <v>1</v>
      </c>
      <c r="E62">
        <v>5</v>
      </c>
      <c r="F62">
        <v>7</v>
      </c>
      <c r="G62">
        <v>1</v>
      </c>
      <c r="H62">
        <f t="shared" si="1"/>
        <v>21</v>
      </c>
      <c r="I62">
        <v>2</v>
      </c>
      <c r="J62">
        <v>1</v>
      </c>
      <c r="K62">
        <v>0.98</v>
      </c>
      <c r="L62">
        <v>0.12</v>
      </c>
      <c r="M62">
        <f>Tableau1[[#This Row],[Cl2free (mgCl2/L)]]/Tableau1[[#This Row],[Cl2 injected (mgCl2/L)]]</f>
        <v>2.4E-2</v>
      </c>
      <c r="N62">
        <v>2.48</v>
      </c>
      <c r="O62">
        <f>Tableau1[[#This Row],[Cl2total (mgCl2/L)]]/Tableau1[[#This Row],[Cl2 injected (mgCl2/L)]]</f>
        <v>0.496</v>
      </c>
      <c r="P62">
        <v>7.42</v>
      </c>
      <c r="Q62">
        <v>100.2218233668322</v>
      </c>
      <c r="R62">
        <v>60.333266702984318</v>
      </c>
      <c r="S62">
        <f>Tableau1[[#This Row],[dioxane (microgram/L)]]/Tableau1[[#This Row],[Dioxane C0]]</f>
        <v>0.60199729635882127</v>
      </c>
      <c r="T62">
        <v>83.179236312681411</v>
      </c>
      <c r="U62">
        <v>61.750575517966183</v>
      </c>
      <c r="V62">
        <f>Tableau1[[#This Row],[sucralose (microgram/L]]/Tableau1[[#This Row],[sucralose C0 (microgram/L)]]</f>
        <v>0.74237968819331135</v>
      </c>
      <c r="W62">
        <v>70.201083540212707</v>
      </c>
      <c r="Y62">
        <v>0</v>
      </c>
      <c r="AB62" t="e">
        <f>Tableau1[[#This Row],[Carbamazepine (microgram/L)]]/Tableau1[[#This Row],[Carbamazepine C0 (microgram/L)]]</f>
        <v>#DIV/0!</v>
      </c>
    </row>
    <row r="63" spans="1:28" hidden="1" x14ac:dyDescent="0.25">
      <c r="A63" t="s">
        <v>30</v>
      </c>
      <c r="B63" t="s">
        <v>52</v>
      </c>
      <c r="C63">
        <v>1</v>
      </c>
      <c r="D63">
        <v>1</v>
      </c>
      <c r="E63">
        <v>5</v>
      </c>
      <c r="F63">
        <v>7</v>
      </c>
      <c r="G63">
        <v>2</v>
      </c>
      <c r="H63">
        <f t="shared" si="1"/>
        <v>22</v>
      </c>
      <c r="I63">
        <v>2</v>
      </c>
      <c r="J63">
        <v>1</v>
      </c>
      <c r="K63">
        <v>0.98</v>
      </c>
      <c r="L63">
        <v>0.08</v>
      </c>
      <c r="M63">
        <f>Tableau1[[#This Row],[Cl2free (mgCl2/L)]]/Tableau1[[#This Row],[Cl2 injected (mgCl2/L)]]</f>
        <v>1.6E-2</v>
      </c>
      <c r="N63">
        <v>1.4</v>
      </c>
      <c r="O63">
        <f>Tableau1[[#This Row],[Cl2total (mgCl2/L)]]/Tableau1[[#This Row],[Cl2 injected (mgCl2/L)]]</f>
        <v>0.27999999999999997</v>
      </c>
      <c r="P63">
        <v>7.4</v>
      </c>
      <c r="Q63">
        <v>100.2218233668322</v>
      </c>
      <c r="R63">
        <v>36.634229548146187</v>
      </c>
      <c r="S63">
        <f>Tableau1[[#This Row],[dioxane (microgram/L)]]/Tableau1[[#This Row],[Dioxane C0]]</f>
        <v>0.36553146128720365</v>
      </c>
      <c r="T63">
        <v>83.179236312681411</v>
      </c>
      <c r="U63">
        <v>49.335777199479537</v>
      </c>
      <c r="V63">
        <f>Tableau1[[#This Row],[sucralose (microgram/L]]/Tableau1[[#This Row],[sucralose C0 (microgram/L)]]</f>
        <v>0.59312611399821014</v>
      </c>
      <c r="W63">
        <v>70.201083540212707</v>
      </c>
      <c r="Y63">
        <v>0</v>
      </c>
      <c r="AB63" t="e">
        <f>Tableau1[[#This Row],[Carbamazepine (microgram/L)]]/Tableau1[[#This Row],[Carbamazepine C0 (microgram/L)]]</f>
        <v>#DIV/0!</v>
      </c>
    </row>
    <row r="64" spans="1:28" hidden="1" x14ac:dyDescent="0.25">
      <c r="A64" t="s">
        <v>30</v>
      </c>
      <c r="B64" t="s">
        <v>52</v>
      </c>
      <c r="C64">
        <v>1</v>
      </c>
      <c r="D64">
        <v>1</v>
      </c>
      <c r="E64">
        <v>5</v>
      </c>
      <c r="F64">
        <v>7</v>
      </c>
      <c r="G64">
        <v>3</v>
      </c>
      <c r="H64">
        <f t="shared" si="1"/>
        <v>23</v>
      </c>
      <c r="I64">
        <v>2</v>
      </c>
      <c r="J64">
        <v>1</v>
      </c>
      <c r="K64">
        <v>0.98</v>
      </c>
      <c r="L64">
        <v>0.05</v>
      </c>
      <c r="M64">
        <f>Tableau1[[#This Row],[Cl2free (mgCl2/L)]]/Tableau1[[#This Row],[Cl2 injected (mgCl2/L)]]</f>
        <v>0.01</v>
      </c>
      <c r="N64">
        <v>0.73</v>
      </c>
      <c r="O64">
        <f>Tableau1[[#This Row],[Cl2total (mgCl2/L)]]/Tableau1[[#This Row],[Cl2 injected (mgCl2/L)]]</f>
        <v>0.14599999999999999</v>
      </c>
      <c r="P64">
        <v>7.34</v>
      </c>
      <c r="Q64">
        <v>100.2218233668322</v>
      </c>
      <c r="R64">
        <v>31.996920737989431</v>
      </c>
      <c r="S64">
        <f>Tableau1[[#This Row],[dioxane (microgram/L)]]/Tableau1[[#This Row],[Dioxane C0]]</f>
        <v>0.3192610118544163</v>
      </c>
      <c r="T64">
        <v>83.179236312681411</v>
      </c>
      <c r="U64">
        <v>38.718221399259328</v>
      </c>
      <c r="V64">
        <f>Tableau1[[#This Row],[sucralose (microgram/L]]/Tableau1[[#This Row],[sucralose C0 (microgram/L)]]</f>
        <v>0.46547940466431514</v>
      </c>
      <c r="W64">
        <v>70.201083540212707</v>
      </c>
      <c r="Y64">
        <v>0</v>
      </c>
      <c r="AB64" t="e">
        <f>Tableau1[[#This Row],[Carbamazepine (microgram/L)]]/Tableau1[[#This Row],[Carbamazepine C0 (microgram/L)]]</f>
        <v>#DIV/0!</v>
      </c>
    </row>
    <row r="65" spans="1:28" hidden="1" x14ac:dyDescent="0.25">
      <c r="A65" t="s">
        <v>30</v>
      </c>
      <c r="B65" t="s">
        <v>52</v>
      </c>
      <c r="C65">
        <v>1</v>
      </c>
      <c r="D65">
        <v>1</v>
      </c>
      <c r="E65">
        <v>5</v>
      </c>
      <c r="F65">
        <v>7</v>
      </c>
      <c r="G65">
        <v>4</v>
      </c>
      <c r="H65">
        <f t="shared" si="1"/>
        <v>24</v>
      </c>
      <c r="I65">
        <v>2</v>
      </c>
      <c r="J65">
        <v>1</v>
      </c>
      <c r="K65">
        <v>0.98</v>
      </c>
      <c r="L65">
        <v>0.02</v>
      </c>
      <c r="M65">
        <f>Tableau1[[#This Row],[Cl2free (mgCl2/L)]]/Tableau1[[#This Row],[Cl2 injected (mgCl2/L)]]</f>
        <v>4.0000000000000001E-3</v>
      </c>
      <c r="N65">
        <v>0.37</v>
      </c>
      <c r="O65">
        <f>Tableau1[[#This Row],[Cl2total (mgCl2/L)]]/Tableau1[[#This Row],[Cl2 injected (mgCl2/L)]]</f>
        <v>7.3999999999999996E-2</v>
      </c>
      <c r="P65">
        <v>7.38</v>
      </c>
      <c r="Q65">
        <v>100.2218233668322</v>
      </c>
      <c r="R65">
        <v>28.22231002834981</v>
      </c>
      <c r="S65">
        <f>Tableau1[[#This Row],[dioxane (microgram/L)]]/Tableau1[[#This Row],[Dioxane C0]]</f>
        <v>0.28159844912270687</v>
      </c>
      <c r="T65">
        <v>83.179236312681411</v>
      </c>
      <c r="U65">
        <v>35.123736362726447</v>
      </c>
      <c r="V65">
        <f>Tableau1[[#This Row],[sucralose (microgram/L]]/Tableau1[[#This Row],[sucralose C0 (microgram/L)]]</f>
        <v>0.42226567494190281</v>
      </c>
      <c r="W65">
        <v>70.201083540212707</v>
      </c>
      <c r="Y65">
        <v>0</v>
      </c>
      <c r="AB65" t="e">
        <f>Tableau1[[#This Row],[Carbamazepine (microgram/L)]]/Tableau1[[#This Row],[Carbamazepine C0 (microgram/L)]]</f>
        <v>#DIV/0!</v>
      </c>
    </row>
    <row r="66" spans="1:28" hidden="1" x14ac:dyDescent="0.25">
      <c r="A66" t="s">
        <v>36</v>
      </c>
      <c r="B66" t="s">
        <v>52</v>
      </c>
      <c r="C66">
        <v>1</v>
      </c>
      <c r="D66">
        <v>1</v>
      </c>
      <c r="E66">
        <v>5</v>
      </c>
      <c r="F66">
        <v>9</v>
      </c>
      <c r="G66">
        <v>0</v>
      </c>
      <c r="H66">
        <f t="shared" ref="H66:H97" si="2">G66+20</f>
        <v>20</v>
      </c>
      <c r="I66">
        <v>2</v>
      </c>
      <c r="J66">
        <v>1</v>
      </c>
      <c r="K66">
        <v>0.98</v>
      </c>
      <c r="L66">
        <v>0.12</v>
      </c>
      <c r="M66">
        <f>Tableau1[[#This Row],[Cl2free (mgCl2/L)]]/Tableau1[[#This Row],[Cl2 injected (mgCl2/L)]]</f>
        <v>2.4E-2</v>
      </c>
      <c r="N66">
        <v>4.04</v>
      </c>
      <c r="O66">
        <f>Tableau1[[#This Row],[Cl2total (mgCl2/L)]]/Tableau1[[#This Row],[Cl2 injected (mgCl2/L)]]</f>
        <v>0.80800000000000005</v>
      </c>
      <c r="P66">
        <v>9.06</v>
      </c>
      <c r="Q66">
        <v>124.8948242043345</v>
      </c>
      <c r="R66">
        <v>124.8948242043345</v>
      </c>
      <c r="S66">
        <f>Tableau1[[#This Row],[dioxane (microgram/L)]]/Tableau1[[#This Row],[Dioxane C0]]</f>
        <v>1</v>
      </c>
      <c r="T66">
        <v>76.946703615297508</v>
      </c>
      <c r="U66">
        <v>76.946703615297508</v>
      </c>
      <c r="V66">
        <f>Tableau1[[#This Row],[sucralose (microgram/L]]/Tableau1[[#This Row],[sucralose C0 (microgram/L)]]</f>
        <v>1</v>
      </c>
      <c r="W66">
        <v>70.201083540212707</v>
      </c>
      <c r="Y66">
        <v>0</v>
      </c>
      <c r="AB66" t="e">
        <f>Tableau1[[#This Row],[Carbamazepine (microgram/L)]]/Tableau1[[#This Row],[Carbamazepine C0 (microgram/L)]]</f>
        <v>#DIV/0!</v>
      </c>
    </row>
    <row r="67" spans="1:28" hidden="1" x14ac:dyDescent="0.25">
      <c r="A67" t="s">
        <v>36</v>
      </c>
      <c r="B67" t="s">
        <v>52</v>
      </c>
      <c r="C67">
        <v>1</v>
      </c>
      <c r="D67">
        <v>1</v>
      </c>
      <c r="E67">
        <v>5</v>
      </c>
      <c r="F67">
        <v>9</v>
      </c>
      <c r="G67">
        <v>1</v>
      </c>
      <c r="H67">
        <f t="shared" si="2"/>
        <v>21</v>
      </c>
      <c r="I67">
        <v>2</v>
      </c>
      <c r="J67">
        <v>1</v>
      </c>
      <c r="K67">
        <v>0.98</v>
      </c>
      <c r="L67">
        <v>0.12</v>
      </c>
      <c r="M67">
        <f>Tableau1[[#This Row],[Cl2free (mgCl2/L)]]/Tableau1[[#This Row],[Cl2 injected (mgCl2/L)]]</f>
        <v>2.4E-2</v>
      </c>
      <c r="N67">
        <v>2.48</v>
      </c>
      <c r="O67">
        <f>Tableau1[[#This Row],[Cl2total (mgCl2/L)]]/Tableau1[[#This Row],[Cl2 injected (mgCl2/L)]]</f>
        <v>0.496</v>
      </c>
      <c r="P67">
        <v>8.77</v>
      </c>
      <c r="Q67">
        <v>124.8948242043345</v>
      </c>
      <c r="R67">
        <v>88.735916662376013</v>
      </c>
      <c r="S67">
        <f>Tableau1[[#This Row],[dioxane (microgram/L)]]/Tableau1[[#This Row],[Dioxane C0]]</f>
        <v>0.71048514001828766</v>
      </c>
      <c r="T67">
        <v>76.946703615297508</v>
      </c>
      <c r="U67">
        <v>67.469939570622316</v>
      </c>
      <c r="V67">
        <f>Tableau1[[#This Row],[sucralose (microgram/L]]/Tableau1[[#This Row],[sucralose C0 (microgram/L)]]</f>
        <v>0.87683989567564591</v>
      </c>
      <c r="W67">
        <v>70.201083540212707</v>
      </c>
      <c r="Y67">
        <v>0</v>
      </c>
      <c r="AB67" t="e">
        <f>Tableau1[[#This Row],[Carbamazepine (microgram/L)]]/Tableau1[[#This Row],[Carbamazepine C0 (microgram/L)]]</f>
        <v>#DIV/0!</v>
      </c>
    </row>
    <row r="68" spans="1:28" hidden="1" x14ac:dyDescent="0.25">
      <c r="A68" t="s">
        <v>36</v>
      </c>
      <c r="B68" t="s">
        <v>52</v>
      </c>
      <c r="C68">
        <v>1</v>
      </c>
      <c r="D68">
        <v>1</v>
      </c>
      <c r="E68">
        <v>5</v>
      </c>
      <c r="F68">
        <v>9</v>
      </c>
      <c r="G68">
        <v>2</v>
      </c>
      <c r="H68">
        <f t="shared" si="2"/>
        <v>22</v>
      </c>
      <c r="I68">
        <v>2</v>
      </c>
      <c r="J68">
        <v>1</v>
      </c>
      <c r="K68">
        <v>0.98</v>
      </c>
      <c r="L68">
        <v>0.08</v>
      </c>
      <c r="M68">
        <f>Tableau1[[#This Row],[Cl2free (mgCl2/L)]]/Tableau1[[#This Row],[Cl2 injected (mgCl2/L)]]</f>
        <v>1.6E-2</v>
      </c>
      <c r="N68">
        <v>1.4</v>
      </c>
      <c r="O68">
        <f>Tableau1[[#This Row],[Cl2total (mgCl2/L)]]/Tableau1[[#This Row],[Cl2 injected (mgCl2/L)]]</f>
        <v>0.27999999999999997</v>
      </c>
      <c r="P68">
        <v>8.5399999999999991</v>
      </c>
      <c r="Q68">
        <v>124.8948242043345</v>
      </c>
      <c r="R68">
        <v>67.419510554164816</v>
      </c>
      <c r="S68">
        <f>Tableau1[[#This Row],[dioxane (microgram/L)]]/Tableau1[[#This Row],[Dioxane C0]]</f>
        <v>0.53981028424254762</v>
      </c>
      <c r="T68">
        <v>76.946703615297508</v>
      </c>
      <c r="U68">
        <v>52.243395490428838</v>
      </c>
      <c r="V68">
        <f>Tableau1[[#This Row],[sucralose (microgram/L]]/Tableau1[[#This Row],[sucralose C0 (microgram/L)]]</f>
        <v>0.67895560219999485</v>
      </c>
      <c r="W68">
        <v>70.201083540212707</v>
      </c>
      <c r="Y68">
        <v>0</v>
      </c>
      <c r="AB68" t="e">
        <f>Tableau1[[#This Row],[Carbamazepine (microgram/L)]]/Tableau1[[#This Row],[Carbamazepine C0 (microgram/L)]]</f>
        <v>#DIV/0!</v>
      </c>
    </row>
    <row r="69" spans="1:28" hidden="1" x14ac:dyDescent="0.25">
      <c r="A69" t="s">
        <v>36</v>
      </c>
      <c r="B69" t="s">
        <v>52</v>
      </c>
      <c r="C69">
        <v>1</v>
      </c>
      <c r="D69">
        <v>1</v>
      </c>
      <c r="E69">
        <v>5</v>
      </c>
      <c r="F69">
        <v>9</v>
      </c>
      <c r="G69">
        <v>3</v>
      </c>
      <c r="H69">
        <f t="shared" si="2"/>
        <v>23</v>
      </c>
      <c r="I69">
        <v>2</v>
      </c>
      <c r="J69">
        <v>1</v>
      </c>
      <c r="K69">
        <v>0.98</v>
      </c>
      <c r="L69">
        <v>0.05</v>
      </c>
      <c r="M69">
        <f>Tableau1[[#This Row],[Cl2free (mgCl2/L)]]/Tableau1[[#This Row],[Cl2 injected (mgCl2/L)]]</f>
        <v>0.01</v>
      </c>
      <c r="N69">
        <v>0.73</v>
      </c>
      <c r="O69">
        <f>Tableau1[[#This Row],[Cl2total (mgCl2/L)]]/Tableau1[[#This Row],[Cl2 injected (mgCl2/L)]]</f>
        <v>0.14599999999999999</v>
      </c>
      <c r="P69">
        <v>8.48</v>
      </c>
      <c r="Q69">
        <v>124.8948242043345</v>
      </c>
      <c r="R69">
        <v>58.386616520119027</v>
      </c>
      <c r="S69">
        <f>Tableau1[[#This Row],[dioxane (microgram/L)]]/Tableau1[[#This Row],[Dioxane C0]]</f>
        <v>0.46748627809103965</v>
      </c>
      <c r="T69">
        <v>76.946703615297508</v>
      </c>
      <c r="U69">
        <v>50.107076804040027</v>
      </c>
      <c r="V69">
        <f>Tableau1[[#This Row],[sucralose (microgram/L]]/Tableau1[[#This Row],[sucralose C0 (microgram/L)]]</f>
        <v>0.65119198678809176</v>
      </c>
      <c r="W69">
        <v>70.201083540212707</v>
      </c>
      <c r="Y69">
        <v>0</v>
      </c>
      <c r="AB69" t="e">
        <f>Tableau1[[#This Row],[Carbamazepine (microgram/L)]]/Tableau1[[#This Row],[Carbamazepine C0 (microgram/L)]]</f>
        <v>#DIV/0!</v>
      </c>
    </row>
    <row r="70" spans="1:28" hidden="1" x14ac:dyDescent="0.25">
      <c r="A70" t="s">
        <v>36</v>
      </c>
      <c r="B70" t="s">
        <v>52</v>
      </c>
      <c r="C70">
        <v>1</v>
      </c>
      <c r="D70">
        <v>1</v>
      </c>
      <c r="E70">
        <v>5</v>
      </c>
      <c r="F70">
        <v>9</v>
      </c>
      <c r="G70">
        <v>4</v>
      </c>
      <c r="H70">
        <f t="shared" si="2"/>
        <v>24</v>
      </c>
      <c r="I70">
        <v>2</v>
      </c>
      <c r="J70">
        <v>1</v>
      </c>
      <c r="K70">
        <v>0.98</v>
      </c>
      <c r="L70">
        <v>0.02</v>
      </c>
      <c r="M70">
        <f>Tableau1[[#This Row],[Cl2free (mgCl2/L)]]/Tableau1[[#This Row],[Cl2 injected (mgCl2/L)]]</f>
        <v>4.0000000000000001E-3</v>
      </c>
      <c r="N70">
        <v>0.37</v>
      </c>
      <c r="O70">
        <f>Tableau1[[#This Row],[Cl2total (mgCl2/L)]]/Tableau1[[#This Row],[Cl2 injected (mgCl2/L)]]</f>
        <v>7.3999999999999996E-2</v>
      </c>
      <c r="P70">
        <v>8.4</v>
      </c>
      <c r="Q70">
        <v>124.8948242043345</v>
      </c>
      <c r="R70">
        <v>53.392476865610909</v>
      </c>
      <c r="S70">
        <f>Tableau1[[#This Row],[dioxane (microgram/L)]]/Tableau1[[#This Row],[Dioxane C0]]</f>
        <v>0.42749951573860268</v>
      </c>
      <c r="T70">
        <v>76.946703615297508</v>
      </c>
      <c r="U70">
        <v>40.91117930662675</v>
      </c>
      <c r="V70">
        <f>Tableau1[[#This Row],[sucralose (microgram/L]]/Tableau1[[#This Row],[sucralose C0 (microgram/L)]]</f>
        <v>0.53168202644737261</v>
      </c>
      <c r="W70">
        <v>70.201083540212707</v>
      </c>
      <c r="Y70">
        <v>0</v>
      </c>
      <c r="AB70" t="e">
        <f>Tableau1[[#This Row],[Carbamazepine (microgram/L)]]/Tableau1[[#This Row],[Carbamazepine C0 (microgram/L)]]</f>
        <v>#DIV/0!</v>
      </c>
    </row>
    <row r="71" spans="1:28" hidden="1" x14ac:dyDescent="0.25">
      <c r="A71" t="s">
        <v>25</v>
      </c>
      <c r="B71" t="s">
        <v>52</v>
      </c>
      <c r="C71">
        <v>1</v>
      </c>
      <c r="D71">
        <v>1</v>
      </c>
      <c r="E71">
        <v>6</v>
      </c>
      <c r="F71">
        <v>5</v>
      </c>
      <c r="G71">
        <v>0</v>
      </c>
      <c r="H71">
        <f t="shared" si="2"/>
        <v>20</v>
      </c>
      <c r="I71">
        <v>2</v>
      </c>
      <c r="J71">
        <v>1</v>
      </c>
      <c r="K71">
        <v>0.98</v>
      </c>
      <c r="L71">
        <v>0.12</v>
      </c>
      <c r="M71">
        <f>Tableau1[[#This Row],[Cl2free (mgCl2/L)]]/Tableau1[[#This Row],[Cl2 injected (mgCl2/L)]]</f>
        <v>0.02</v>
      </c>
      <c r="N71">
        <v>5</v>
      </c>
      <c r="O71">
        <f>Tableau1[[#This Row],[Cl2total (mgCl2/L)]]/Tableau1[[#This Row],[Cl2 injected (mgCl2/L)]]</f>
        <v>0.83333333333333337</v>
      </c>
      <c r="P71">
        <v>5.68</v>
      </c>
      <c r="Q71">
        <v>70.72</v>
      </c>
      <c r="R71">
        <v>70.72</v>
      </c>
      <c r="S71">
        <f>Tableau1[[#This Row],[dioxane (microgram/L)]]/Tableau1[[#This Row],[Dioxane C0]]</f>
        <v>1</v>
      </c>
      <c r="T71">
        <v>117</v>
      </c>
      <c r="U71">
        <v>117</v>
      </c>
      <c r="V71">
        <f>Tableau1[[#This Row],[sucralose (microgram/L]]/Tableau1[[#This Row],[sucralose C0 (microgram/L)]]</f>
        <v>1</v>
      </c>
      <c r="W71">
        <v>61.168037497513417</v>
      </c>
      <c r="X71">
        <v>61.168037497513417</v>
      </c>
      <c r="Y71">
        <f>Tableau1[[#This Row],[caffeine (microgram/L)]]/Tableau1[[#This Row],[caffeine C0 (microgram/L)]]</f>
        <v>1</v>
      </c>
      <c r="AB71" t="e">
        <f>Tableau1[[#This Row],[Carbamazepine (microgram/L)]]/Tableau1[[#This Row],[Carbamazepine C0 (microgram/L)]]</f>
        <v>#DIV/0!</v>
      </c>
    </row>
    <row r="72" spans="1:28" hidden="1" x14ac:dyDescent="0.25">
      <c r="A72" t="s">
        <v>25</v>
      </c>
      <c r="B72" t="s">
        <v>52</v>
      </c>
      <c r="C72">
        <v>1</v>
      </c>
      <c r="D72">
        <v>1</v>
      </c>
      <c r="E72">
        <v>6</v>
      </c>
      <c r="F72">
        <v>5</v>
      </c>
      <c r="G72">
        <v>0.5</v>
      </c>
      <c r="H72">
        <f t="shared" si="2"/>
        <v>20.5</v>
      </c>
      <c r="I72">
        <v>2</v>
      </c>
      <c r="J72">
        <v>1</v>
      </c>
      <c r="K72">
        <v>0.98</v>
      </c>
      <c r="L72">
        <v>0.08</v>
      </c>
      <c r="M72">
        <f>Tableau1[[#This Row],[Cl2free (mgCl2/L)]]/Tableau1[[#This Row],[Cl2 injected (mgCl2/L)]]</f>
        <v>1.3333333333333334E-2</v>
      </c>
      <c r="N72">
        <v>4</v>
      </c>
      <c r="O72">
        <f>Tableau1[[#This Row],[Cl2total (mgCl2/L)]]/Tableau1[[#This Row],[Cl2 injected (mgCl2/L)]]</f>
        <v>0.66666666666666663</v>
      </c>
      <c r="P72">
        <v>5.51</v>
      </c>
      <c r="Q72">
        <v>70.72</v>
      </c>
      <c r="R72">
        <v>47.63</v>
      </c>
      <c r="S72">
        <f>Tableau1[[#This Row],[dioxane (microgram/L)]]/Tableau1[[#This Row],[Dioxane C0]]</f>
        <v>0.67350113122171951</v>
      </c>
      <c r="T72">
        <v>117</v>
      </c>
      <c r="U72">
        <v>88.85</v>
      </c>
      <c r="V72">
        <f>Tableau1[[#This Row],[sucralose (microgram/L]]/Tableau1[[#This Row],[sucralose C0 (microgram/L)]]</f>
        <v>0.75940170940170937</v>
      </c>
      <c r="W72">
        <v>61.168037497513417</v>
      </c>
      <c r="X72">
        <v>17.991439373867181</v>
      </c>
      <c r="Y72">
        <f>Tableau1[[#This Row],[caffeine (microgram/L)]]/Tableau1[[#This Row],[caffeine C0 (microgram/L)]]</f>
        <v>0.29413138151765228</v>
      </c>
      <c r="AB72" t="e">
        <f>Tableau1[[#This Row],[Carbamazepine (microgram/L)]]/Tableau1[[#This Row],[Carbamazepine C0 (microgram/L)]]</f>
        <v>#DIV/0!</v>
      </c>
    </row>
    <row r="73" spans="1:28" hidden="1" x14ac:dyDescent="0.25">
      <c r="A73" t="s">
        <v>25</v>
      </c>
      <c r="B73" t="s">
        <v>52</v>
      </c>
      <c r="C73">
        <v>1</v>
      </c>
      <c r="D73">
        <v>1</v>
      </c>
      <c r="E73">
        <v>6</v>
      </c>
      <c r="F73">
        <v>5</v>
      </c>
      <c r="G73">
        <v>1</v>
      </c>
      <c r="H73">
        <f t="shared" si="2"/>
        <v>21</v>
      </c>
      <c r="I73">
        <v>2</v>
      </c>
      <c r="J73">
        <v>1</v>
      </c>
      <c r="K73">
        <v>0.98</v>
      </c>
      <c r="L73">
        <v>0.16</v>
      </c>
      <c r="M73">
        <f>Tableau1[[#This Row],[Cl2free (mgCl2/L)]]/Tableau1[[#This Row],[Cl2 injected (mgCl2/L)]]</f>
        <v>2.6666666666666668E-2</v>
      </c>
      <c r="N73">
        <v>2.96</v>
      </c>
      <c r="O73">
        <f>Tableau1[[#This Row],[Cl2total (mgCl2/L)]]/Tableau1[[#This Row],[Cl2 injected (mgCl2/L)]]</f>
        <v>0.49333333333333335</v>
      </c>
      <c r="P73">
        <v>5.45</v>
      </c>
      <c r="Q73">
        <v>70.72</v>
      </c>
      <c r="R73">
        <v>17.72</v>
      </c>
      <c r="S73">
        <f>Tableau1[[#This Row],[dioxane (microgram/L)]]/Tableau1[[#This Row],[Dioxane C0]]</f>
        <v>0.2505656108597285</v>
      </c>
      <c r="T73">
        <v>117</v>
      </c>
      <c r="U73">
        <v>69.13</v>
      </c>
      <c r="V73">
        <f>Tableau1[[#This Row],[sucralose (microgram/L]]/Tableau1[[#This Row],[sucralose C0 (microgram/L)]]</f>
        <v>0.59085470085470082</v>
      </c>
      <c r="W73">
        <v>61.168037497513417</v>
      </c>
      <c r="X73">
        <v>4.2238076774244551</v>
      </c>
      <c r="Y73">
        <f>Tableau1[[#This Row],[caffeine (microgram/L)]]/Tableau1[[#This Row],[caffeine C0 (microgram/L)]]</f>
        <v>6.905252890606732E-2</v>
      </c>
      <c r="AB73" t="e">
        <f>Tableau1[[#This Row],[Carbamazepine (microgram/L)]]/Tableau1[[#This Row],[Carbamazepine C0 (microgram/L)]]</f>
        <v>#DIV/0!</v>
      </c>
    </row>
    <row r="74" spans="1:28" hidden="1" x14ac:dyDescent="0.25">
      <c r="A74" t="s">
        <v>25</v>
      </c>
      <c r="B74" t="s">
        <v>52</v>
      </c>
      <c r="C74">
        <v>1</v>
      </c>
      <c r="D74">
        <v>1</v>
      </c>
      <c r="E74">
        <v>6</v>
      </c>
      <c r="F74">
        <v>5</v>
      </c>
      <c r="G74">
        <v>1.5</v>
      </c>
      <c r="H74">
        <f t="shared" si="2"/>
        <v>21.5</v>
      </c>
      <c r="I74">
        <v>2</v>
      </c>
      <c r="J74">
        <v>1</v>
      </c>
      <c r="K74">
        <v>0.98</v>
      </c>
      <c r="L74">
        <v>0.04</v>
      </c>
      <c r="M74">
        <f>Tableau1[[#This Row],[Cl2free (mgCl2/L)]]/Tableau1[[#This Row],[Cl2 injected (mgCl2/L)]]</f>
        <v>6.6666666666666671E-3</v>
      </c>
      <c r="N74">
        <v>2.08</v>
      </c>
      <c r="O74">
        <f>Tableau1[[#This Row],[Cl2total (mgCl2/L)]]/Tableau1[[#This Row],[Cl2 injected (mgCl2/L)]]</f>
        <v>0.34666666666666668</v>
      </c>
      <c r="P74">
        <v>5.19</v>
      </c>
      <c r="Q74">
        <v>70.72</v>
      </c>
      <c r="R74">
        <v>8.9700000000000006</v>
      </c>
      <c r="S74">
        <f>Tableau1[[#This Row],[dioxane (microgram/L)]]/Tableau1[[#This Row],[Dioxane C0]]</f>
        <v>0.12683823529411767</v>
      </c>
      <c r="T74">
        <v>117</v>
      </c>
      <c r="U74">
        <v>44.39</v>
      </c>
      <c r="V74">
        <f>Tableau1[[#This Row],[sucralose (microgram/L]]/Tableau1[[#This Row],[sucralose C0 (microgram/L)]]</f>
        <v>0.37940170940170942</v>
      </c>
      <c r="W74">
        <v>61.168037497513417</v>
      </c>
      <c r="X74">
        <v>0.76696743575218129</v>
      </c>
      <c r="Y74">
        <f>Tableau1[[#This Row],[caffeine (microgram/L)]]/Tableau1[[#This Row],[caffeine C0 (microgram/L)]]</f>
        <v>1.2538696141483365E-2</v>
      </c>
      <c r="AB74" t="e">
        <f>Tableau1[[#This Row],[Carbamazepine (microgram/L)]]/Tableau1[[#This Row],[Carbamazepine C0 (microgram/L)]]</f>
        <v>#DIV/0!</v>
      </c>
    </row>
    <row r="75" spans="1:28" hidden="1" x14ac:dyDescent="0.25">
      <c r="A75" t="s">
        <v>25</v>
      </c>
      <c r="B75" t="s">
        <v>52</v>
      </c>
      <c r="C75">
        <v>1</v>
      </c>
      <c r="D75">
        <v>1</v>
      </c>
      <c r="E75">
        <v>6</v>
      </c>
      <c r="F75">
        <v>5</v>
      </c>
      <c r="G75">
        <v>2</v>
      </c>
      <c r="H75">
        <f t="shared" si="2"/>
        <v>22</v>
      </c>
      <c r="I75">
        <v>2</v>
      </c>
      <c r="J75">
        <v>1</v>
      </c>
      <c r="K75">
        <v>0.98</v>
      </c>
      <c r="L75">
        <v>0.02</v>
      </c>
      <c r="M75">
        <f>Tableau1[[#This Row],[Cl2free (mgCl2/L)]]/Tableau1[[#This Row],[Cl2 injected (mgCl2/L)]]</f>
        <v>3.3333333333333335E-3</v>
      </c>
      <c r="N75">
        <v>1.4</v>
      </c>
      <c r="O75">
        <f>Tableau1[[#This Row],[Cl2total (mgCl2/L)]]/Tableau1[[#This Row],[Cl2 injected (mgCl2/L)]]</f>
        <v>0.23333333333333331</v>
      </c>
      <c r="P75">
        <v>5.04</v>
      </c>
      <c r="Q75">
        <v>70.72</v>
      </c>
      <c r="R75">
        <v>4.47</v>
      </c>
      <c r="S75">
        <f>Tableau1[[#This Row],[dioxane (microgram/L)]]/Tableau1[[#This Row],[Dioxane C0]]</f>
        <v>6.3207013574660631E-2</v>
      </c>
      <c r="T75">
        <v>117</v>
      </c>
      <c r="U75">
        <v>33.409999999999997</v>
      </c>
      <c r="V75">
        <f>Tableau1[[#This Row],[sucralose (microgram/L]]/Tableau1[[#This Row],[sucralose C0 (microgram/L)]]</f>
        <v>0.28555555555555551</v>
      </c>
      <c r="W75">
        <v>61.168037497513417</v>
      </c>
      <c r="X75">
        <v>0</v>
      </c>
      <c r="Y75">
        <f>Tableau1[[#This Row],[caffeine (microgram/L)]]/Tableau1[[#This Row],[caffeine C0 (microgram/L)]]</f>
        <v>0</v>
      </c>
      <c r="AB75" t="e">
        <f>Tableau1[[#This Row],[Carbamazepine (microgram/L)]]/Tableau1[[#This Row],[Carbamazepine C0 (microgram/L)]]</f>
        <v>#DIV/0!</v>
      </c>
    </row>
    <row r="76" spans="1:28" hidden="1" x14ac:dyDescent="0.25">
      <c r="A76" t="s">
        <v>25</v>
      </c>
      <c r="B76" t="s">
        <v>52</v>
      </c>
      <c r="C76">
        <v>1</v>
      </c>
      <c r="D76">
        <v>1</v>
      </c>
      <c r="E76">
        <v>6</v>
      </c>
      <c r="F76">
        <v>5</v>
      </c>
      <c r="G76">
        <v>2.5</v>
      </c>
      <c r="H76">
        <f t="shared" si="2"/>
        <v>22.5</v>
      </c>
      <c r="I76">
        <v>2</v>
      </c>
      <c r="J76">
        <v>1</v>
      </c>
      <c r="K76">
        <v>0.98</v>
      </c>
      <c r="L76">
        <v>0.01</v>
      </c>
      <c r="M76">
        <f>Tableau1[[#This Row],[Cl2free (mgCl2/L)]]/Tableau1[[#This Row],[Cl2 injected (mgCl2/L)]]</f>
        <v>1.6666666666666668E-3</v>
      </c>
      <c r="N76">
        <v>0.97</v>
      </c>
      <c r="O76">
        <f>Tableau1[[#This Row],[Cl2total (mgCl2/L)]]/Tableau1[[#This Row],[Cl2 injected (mgCl2/L)]]</f>
        <v>0.16166666666666665</v>
      </c>
      <c r="P76">
        <v>4.99</v>
      </c>
      <c r="Q76">
        <v>70.72</v>
      </c>
      <c r="R76">
        <v>2.15</v>
      </c>
      <c r="S76">
        <f>Tableau1[[#This Row],[dioxane (microgram/L)]]/Tableau1[[#This Row],[Dioxane C0]]</f>
        <v>3.0401583710407239E-2</v>
      </c>
      <c r="T76">
        <v>117</v>
      </c>
      <c r="U76">
        <v>20.86</v>
      </c>
      <c r="V76">
        <f>Tableau1[[#This Row],[sucralose (microgram/L]]/Tableau1[[#This Row],[sucralose C0 (microgram/L)]]</f>
        <v>0.17829059829059829</v>
      </c>
      <c r="W76">
        <v>61.168037497513417</v>
      </c>
      <c r="X76">
        <v>0</v>
      </c>
      <c r="Y76">
        <f>Tableau1[[#This Row],[caffeine (microgram/L)]]/Tableau1[[#This Row],[caffeine C0 (microgram/L)]]</f>
        <v>0</v>
      </c>
      <c r="AB76" t="e">
        <f>Tableau1[[#This Row],[Carbamazepine (microgram/L)]]/Tableau1[[#This Row],[Carbamazepine C0 (microgram/L)]]</f>
        <v>#DIV/0!</v>
      </c>
    </row>
    <row r="77" spans="1:28" hidden="1" x14ac:dyDescent="0.25">
      <c r="A77" t="s">
        <v>25</v>
      </c>
      <c r="B77" t="s">
        <v>52</v>
      </c>
      <c r="C77">
        <v>1</v>
      </c>
      <c r="D77">
        <v>1</v>
      </c>
      <c r="E77">
        <v>6</v>
      </c>
      <c r="F77">
        <v>5</v>
      </c>
      <c r="G77">
        <v>3</v>
      </c>
      <c r="H77">
        <f t="shared" si="2"/>
        <v>23</v>
      </c>
      <c r="I77">
        <v>2</v>
      </c>
      <c r="J77">
        <v>1</v>
      </c>
      <c r="K77">
        <v>0.98</v>
      </c>
      <c r="L77">
        <v>0</v>
      </c>
      <c r="M77">
        <f>Tableau1[[#This Row],[Cl2free (mgCl2/L)]]/Tableau1[[#This Row],[Cl2 injected (mgCl2/L)]]</f>
        <v>0</v>
      </c>
      <c r="N77">
        <v>0.68</v>
      </c>
      <c r="O77">
        <f>Tableau1[[#This Row],[Cl2total (mgCl2/L)]]/Tableau1[[#This Row],[Cl2 injected (mgCl2/L)]]</f>
        <v>0.11333333333333334</v>
      </c>
      <c r="P77">
        <v>4.8600000000000003</v>
      </c>
      <c r="Q77">
        <v>70.72</v>
      </c>
      <c r="R77">
        <v>0</v>
      </c>
      <c r="S77">
        <f>Tableau1[[#This Row],[dioxane (microgram/L)]]/Tableau1[[#This Row],[Dioxane C0]]</f>
        <v>0</v>
      </c>
      <c r="T77">
        <v>117</v>
      </c>
      <c r="U77">
        <v>20.11</v>
      </c>
      <c r="V77">
        <f>Tableau1[[#This Row],[sucralose (microgram/L]]/Tableau1[[#This Row],[sucralose C0 (microgram/L)]]</f>
        <v>0.17188034188034187</v>
      </c>
      <c r="W77">
        <v>61.168037497513417</v>
      </c>
      <c r="X77">
        <v>0</v>
      </c>
      <c r="Y77">
        <f>Tableau1[[#This Row],[caffeine (microgram/L)]]/Tableau1[[#This Row],[caffeine C0 (microgram/L)]]</f>
        <v>0</v>
      </c>
      <c r="AB77" t="e">
        <f>Tableau1[[#This Row],[Carbamazepine (microgram/L)]]/Tableau1[[#This Row],[Carbamazepine C0 (microgram/L)]]</f>
        <v>#DIV/0!</v>
      </c>
    </row>
    <row r="78" spans="1:28" hidden="1" x14ac:dyDescent="0.25">
      <c r="A78" t="s">
        <v>31</v>
      </c>
      <c r="B78" t="s">
        <v>52</v>
      </c>
      <c r="C78">
        <v>1</v>
      </c>
      <c r="D78">
        <v>1</v>
      </c>
      <c r="E78">
        <v>6</v>
      </c>
      <c r="F78">
        <v>7</v>
      </c>
      <c r="G78">
        <v>0</v>
      </c>
      <c r="H78">
        <f t="shared" si="2"/>
        <v>20</v>
      </c>
      <c r="I78">
        <v>2</v>
      </c>
      <c r="J78">
        <v>1</v>
      </c>
      <c r="K78">
        <v>0.98</v>
      </c>
      <c r="L78">
        <v>0.12</v>
      </c>
      <c r="M78">
        <f>Tableau1[[#This Row],[Cl2free (mgCl2/L)]]/Tableau1[[#This Row],[Cl2 injected (mgCl2/L)]]</f>
        <v>0.02</v>
      </c>
      <c r="N78">
        <v>2.84</v>
      </c>
      <c r="O78">
        <f>Tableau1[[#This Row],[Cl2total (mgCl2/L)]]/Tableau1[[#This Row],[Cl2 injected (mgCl2/L)]]</f>
        <v>0.47333333333333333</v>
      </c>
      <c r="P78">
        <v>7.42</v>
      </c>
      <c r="Q78">
        <v>103.6117173097273</v>
      </c>
      <c r="R78">
        <v>103.6117173097273</v>
      </c>
      <c r="S78">
        <f>Tableau1[[#This Row],[dioxane (microgram/L)]]/Tableau1[[#This Row],[Dioxane C0]]</f>
        <v>1</v>
      </c>
      <c r="T78">
        <v>77.925758182364135</v>
      </c>
      <c r="U78">
        <v>77.925758182364135</v>
      </c>
      <c r="V78">
        <f>Tableau1[[#This Row],[sucralose (microgram/L]]/Tableau1[[#This Row],[sucralose C0 (microgram/L)]]</f>
        <v>1</v>
      </c>
      <c r="W78">
        <v>61.168037497513417</v>
      </c>
      <c r="Y78">
        <v>0</v>
      </c>
      <c r="AB78" t="e">
        <f>Tableau1[[#This Row],[Carbamazepine (microgram/L)]]/Tableau1[[#This Row],[Carbamazepine C0 (microgram/L)]]</f>
        <v>#DIV/0!</v>
      </c>
    </row>
    <row r="79" spans="1:28" hidden="1" x14ac:dyDescent="0.25">
      <c r="A79" t="s">
        <v>31</v>
      </c>
      <c r="B79" t="s">
        <v>52</v>
      </c>
      <c r="C79">
        <v>1</v>
      </c>
      <c r="D79">
        <v>1</v>
      </c>
      <c r="E79">
        <v>6</v>
      </c>
      <c r="F79">
        <v>7</v>
      </c>
      <c r="G79">
        <v>1</v>
      </c>
      <c r="H79">
        <f t="shared" si="2"/>
        <v>21</v>
      </c>
      <c r="I79">
        <v>2</v>
      </c>
      <c r="J79">
        <v>1</v>
      </c>
      <c r="K79">
        <v>0.98</v>
      </c>
      <c r="L79">
        <v>0.08</v>
      </c>
      <c r="M79">
        <f>Tableau1[[#This Row],[Cl2free (mgCl2/L)]]/Tableau1[[#This Row],[Cl2 injected (mgCl2/L)]]</f>
        <v>1.3333333333333334E-2</v>
      </c>
      <c r="N79">
        <v>1.52</v>
      </c>
      <c r="O79">
        <f>Tableau1[[#This Row],[Cl2total (mgCl2/L)]]/Tableau1[[#This Row],[Cl2 injected (mgCl2/L)]]</f>
        <v>0.25333333333333335</v>
      </c>
      <c r="P79">
        <v>7.39</v>
      </c>
      <c r="Q79">
        <v>103.6117173097273</v>
      </c>
      <c r="R79">
        <v>42.796673451539682</v>
      </c>
      <c r="S79">
        <f>Tableau1[[#This Row],[dioxane (microgram/L)]]/Tableau1[[#This Row],[Dioxane C0]]</f>
        <v>0.41304858719412263</v>
      </c>
      <c r="T79">
        <v>77.925758182364135</v>
      </c>
      <c r="U79">
        <v>53.925658092283058</v>
      </c>
      <c r="V79">
        <f>Tableau1[[#This Row],[sucralose (microgram/L]]/Tableau1[[#This Row],[sucralose C0 (microgram/L)]]</f>
        <v>0.69201326172643274</v>
      </c>
      <c r="W79">
        <v>61.168037497513417</v>
      </c>
      <c r="Y79">
        <v>0</v>
      </c>
      <c r="AB79" t="e">
        <f>Tableau1[[#This Row],[Carbamazepine (microgram/L)]]/Tableau1[[#This Row],[Carbamazepine C0 (microgram/L)]]</f>
        <v>#DIV/0!</v>
      </c>
    </row>
    <row r="80" spans="1:28" hidden="1" x14ac:dyDescent="0.25">
      <c r="A80" t="s">
        <v>31</v>
      </c>
      <c r="B80" t="s">
        <v>52</v>
      </c>
      <c r="C80">
        <v>1</v>
      </c>
      <c r="D80">
        <v>1</v>
      </c>
      <c r="E80">
        <v>6</v>
      </c>
      <c r="F80">
        <v>7</v>
      </c>
      <c r="G80">
        <v>2</v>
      </c>
      <c r="H80">
        <f t="shared" si="2"/>
        <v>22</v>
      </c>
      <c r="I80">
        <v>2</v>
      </c>
      <c r="J80">
        <v>1</v>
      </c>
      <c r="K80">
        <v>0.98</v>
      </c>
      <c r="L80">
        <v>0.01</v>
      </c>
      <c r="M80">
        <f>Tableau1[[#This Row],[Cl2free (mgCl2/L)]]/Tableau1[[#This Row],[Cl2 injected (mgCl2/L)]]</f>
        <v>1.6666666666666668E-3</v>
      </c>
      <c r="N80">
        <v>0.79</v>
      </c>
      <c r="O80">
        <f>Tableau1[[#This Row],[Cl2total (mgCl2/L)]]/Tableau1[[#This Row],[Cl2 injected (mgCl2/L)]]</f>
        <v>0.13166666666666668</v>
      </c>
      <c r="P80">
        <v>7.38</v>
      </c>
      <c r="Q80">
        <v>103.6117173097273</v>
      </c>
      <c r="R80">
        <v>28.3670158879338</v>
      </c>
      <c r="S80">
        <f>Tableau1[[#This Row],[dioxane (microgram/L)]]/Tableau1[[#This Row],[Dioxane C0]]</f>
        <v>0.27378192953926306</v>
      </c>
      <c r="T80">
        <v>77.925758182364135</v>
      </c>
      <c r="U80">
        <v>39.132969672705443</v>
      </c>
      <c r="V80">
        <f>Tableau1[[#This Row],[sucralose (microgram/L]]/Tableau1[[#This Row],[sucralose C0 (microgram/L)]]</f>
        <v>0.50218272603938385</v>
      </c>
      <c r="W80">
        <v>61.168037497513417</v>
      </c>
      <c r="Y80">
        <v>0</v>
      </c>
      <c r="AB80" t="e">
        <f>Tableau1[[#This Row],[Carbamazepine (microgram/L)]]/Tableau1[[#This Row],[Carbamazepine C0 (microgram/L)]]</f>
        <v>#DIV/0!</v>
      </c>
    </row>
    <row r="81" spans="1:28" hidden="1" x14ac:dyDescent="0.25">
      <c r="A81" t="s">
        <v>31</v>
      </c>
      <c r="B81" t="s">
        <v>52</v>
      </c>
      <c r="C81">
        <v>1</v>
      </c>
      <c r="D81">
        <v>1</v>
      </c>
      <c r="E81">
        <v>6</v>
      </c>
      <c r="F81">
        <v>7</v>
      </c>
      <c r="G81">
        <v>3</v>
      </c>
      <c r="H81">
        <f t="shared" si="2"/>
        <v>23</v>
      </c>
      <c r="I81">
        <v>2</v>
      </c>
      <c r="J81">
        <v>1</v>
      </c>
      <c r="K81">
        <v>0.98</v>
      </c>
      <c r="L81">
        <v>0.02</v>
      </c>
      <c r="M81">
        <f>Tableau1[[#This Row],[Cl2free (mgCl2/L)]]/Tableau1[[#This Row],[Cl2 injected (mgCl2/L)]]</f>
        <v>3.3333333333333335E-3</v>
      </c>
      <c r="N81">
        <v>0.44</v>
      </c>
      <c r="O81">
        <f>Tableau1[[#This Row],[Cl2total (mgCl2/L)]]/Tableau1[[#This Row],[Cl2 injected (mgCl2/L)]]</f>
        <v>7.3333333333333334E-2</v>
      </c>
      <c r="P81">
        <v>7.36</v>
      </c>
      <c r="Q81">
        <v>103.6117173097273</v>
      </c>
      <c r="R81">
        <v>23.425322917500669</v>
      </c>
      <c r="S81">
        <f>Tableau1[[#This Row],[dioxane (microgram/L)]]/Tableau1[[#This Row],[Dioxane C0]]</f>
        <v>0.22608758474174473</v>
      </c>
      <c r="T81">
        <v>77.925758182364135</v>
      </c>
      <c r="U81">
        <v>35.179036132519272</v>
      </c>
      <c r="V81">
        <f>Tableau1[[#This Row],[sucralose (microgram/L]]/Tableau1[[#This Row],[sucralose C0 (microgram/L)]]</f>
        <v>0.45144297537910716</v>
      </c>
      <c r="W81">
        <v>61.168037497513417</v>
      </c>
      <c r="Y81">
        <v>0</v>
      </c>
      <c r="AB81" t="e">
        <f>Tableau1[[#This Row],[Carbamazepine (microgram/L)]]/Tableau1[[#This Row],[Carbamazepine C0 (microgram/L)]]</f>
        <v>#DIV/0!</v>
      </c>
    </row>
    <row r="82" spans="1:28" hidden="1" x14ac:dyDescent="0.25">
      <c r="A82" t="s">
        <v>31</v>
      </c>
      <c r="B82" t="s">
        <v>52</v>
      </c>
      <c r="C82">
        <v>1</v>
      </c>
      <c r="D82">
        <v>1</v>
      </c>
      <c r="E82">
        <v>6</v>
      </c>
      <c r="F82">
        <v>7</v>
      </c>
      <c r="G82">
        <v>4</v>
      </c>
      <c r="H82">
        <f t="shared" si="2"/>
        <v>24</v>
      </c>
      <c r="I82">
        <v>2</v>
      </c>
      <c r="J82">
        <v>1</v>
      </c>
      <c r="K82">
        <v>0.98</v>
      </c>
      <c r="L82">
        <v>0.01</v>
      </c>
      <c r="M82">
        <f>Tableau1[[#This Row],[Cl2free (mgCl2/L)]]/Tableau1[[#This Row],[Cl2 injected (mgCl2/L)]]</f>
        <v>1.6666666666666668E-3</v>
      </c>
      <c r="N82">
        <v>0.21</v>
      </c>
      <c r="O82">
        <f>Tableau1[[#This Row],[Cl2total (mgCl2/L)]]/Tableau1[[#This Row],[Cl2 injected (mgCl2/L)]]</f>
        <v>3.4999999999999996E-2</v>
      </c>
      <c r="P82">
        <v>7.35</v>
      </c>
      <c r="Q82">
        <v>103.6117173097273</v>
      </c>
      <c r="R82">
        <v>21.236701953420781</v>
      </c>
      <c r="S82">
        <f>Tableau1[[#This Row],[dioxane (microgram/L)]]/Tableau1[[#This Row],[Dioxane C0]]</f>
        <v>0.20496428883557394</v>
      </c>
      <c r="T82">
        <v>77.925758182364135</v>
      </c>
      <c r="U82">
        <v>33.63064257832049</v>
      </c>
      <c r="V82">
        <f>Tableau1[[#This Row],[sucralose (microgram/L]]/Tableau1[[#This Row],[sucralose C0 (microgram/L)]]</f>
        <v>0.43157286323242539</v>
      </c>
      <c r="W82">
        <v>61.168037497513417</v>
      </c>
      <c r="Y82">
        <v>0</v>
      </c>
      <c r="AB82" t="e">
        <f>Tableau1[[#This Row],[Carbamazepine (microgram/L)]]/Tableau1[[#This Row],[Carbamazepine C0 (microgram/L)]]</f>
        <v>#DIV/0!</v>
      </c>
    </row>
    <row r="83" spans="1:28" hidden="1" x14ac:dyDescent="0.25">
      <c r="A83" t="s">
        <v>37</v>
      </c>
      <c r="B83" t="s">
        <v>52</v>
      </c>
      <c r="C83">
        <v>1</v>
      </c>
      <c r="D83">
        <v>1</v>
      </c>
      <c r="E83">
        <v>6</v>
      </c>
      <c r="F83">
        <v>9</v>
      </c>
      <c r="G83">
        <v>0</v>
      </c>
      <c r="H83">
        <f t="shared" si="2"/>
        <v>20</v>
      </c>
      <c r="I83">
        <v>2</v>
      </c>
      <c r="J83">
        <v>1</v>
      </c>
      <c r="K83">
        <v>0.98</v>
      </c>
      <c r="L83">
        <v>0.12</v>
      </c>
      <c r="M83">
        <f>Tableau1[[#This Row],[Cl2free (mgCl2/L)]]/Tableau1[[#This Row],[Cl2 injected (mgCl2/L)]]</f>
        <v>0.02</v>
      </c>
      <c r="N83">
        <v>2.84</v>
      </c>
      <c r="O83">
        <f>Tableau1[[#This Row],[Cl2total (mgCl2/L)]]/Tableau1[[#This Row],[Cl2 injected (mgCl2/L)]]</f>
        <v>0.47333333333333333</v>
      </c>
      <c r="P83">
        <v>8.84</v>
      </c>
      <c r="Q83">
        <v>135.29399758154631</v>
      </c>
      <c r="R83">
        <v>135.29399758154631</v>
      </c>
      <c r="S83">
        <f>Tableau1[[#This Row],[dioxane (microgram/L)]]/Tableau1[[#This Row],[Dioxane C0]]</f>
        <v>1</v>
      </c>
      <c r="T83">
        <v>87.217905063335962</v>
      </c>
      <c r="U83">
        <v>87.217905063335962</v>
      </c>
      <c r="V83">
        <f>Tableau1[[#This Row],[sucralose (microgram/L]]/Tableau1[[#This Row],[sucralose C0 (microgram/L)]]</f>
        <v>1</v>
      </c>
      <c r="W83">
        <v>61.168037497513417</v>
      </c>
      <c r="Y83">
        <v>0</v>
      </c>
      <c r="AB83" t="e">
        <f>Tableau1[[#This Row],[Carbamazepine (microgram/L)]]/Tableau1[[#This Row],[Carbamazepine C0 (microgram/L)]]</f>
        <v>#DIV/0!</v>
      </c>
    </row>
    <row r="84" spans="1:28" hidden="1" x14ac:dyDescent="0.25">
      <c r="A84" t="s">
        <v>37</v>
      </c>
      <c r="B84" t="s">
        <v>52</v>
      </c>
      <c r="C84">
        <v>1</v>
      </c>
      <c r="D84">
        <v>1</v>
      </c>
      <c r="E84">
        <v>6</v>
      </c>
      <c r="F84">
        <v>9</v>
      </c>
      <c r="G84">
        <v>1</v>
      </c>
      <c r="H84">
        <f t="shared" si="2"/>
        <v>21</v>
      </c>
      <c r="I84">
        <v>2</v>
      </c>
      <c r="J84">
        <v>1</v>
      </c>
      <c r="K84">
        <v>0.98</v>
      </c>
      <c r="L84">
        <v>0.08</v>
      </c>
      <c r="M84">
        <f>Tableau1[[#This Row],[Cl2free (mgCl2/L)]]/Tableau1[[#This Row],[Cl2 injected (mgCl2/L)]]</f>
        <v>1.3333333333333334E-2</v>
      </c>
      <c r="N84">
        <v>1.52</v>
      </c>
      <c r="O84">
        <f>Tableau1[[#This Row],[Cl2total (mgCl2/L)]]/Tableau1[[#This Row],[Cl2 injected (mgCl2/L)]]</f>
        <v>0.25333333333333335</v>
      </c>
      <c r="P84">
        <v>8.64</v>
      </c>
      <c r="Q84">
        <v>135.29399758154631</v>
      </c>
      <c r="R84">
        <v>81.924513830680581</v>
      </c>
      <c r="S84">
        <f>Tableau1[[#This Row],[dioxane (microgram/L)]]/Tableau1[[#This Row],[Dioxane C0]]</f>
        <v>0.60552955264184494</v>
      </c>
      <c r="T84">
        <v>87.217905063335962</v>
      </c>
      <c r="U84">
        <v>81.210120580235881</v>
      </c>
      <c r="V84">
        <f>Tableau1[[#This Row],[sucralose (microgram/L]]/Tableau1[[#This Row],[sucralose C0 (microgram/L)]]</f>
        <v>0.9311175328192377</v>
      </c>
      <c r="W84">
        <v>61.168037497513417</v>
      </c>
      <c r="Y84">
        <v>0</v>
      </c>
      <c r="AB84" t="e">
        <f>Tableau1[[#This Row],[Carbamazepine (microgram/L)]]/Tableau1[[#This Row],[Carbamazepine C0 (microgram/L)]]</f>
        <v>#DIV/0!</v>
      </c>
    </row>
    <row r="85" spans="1:28" hidden="1" x14ac:dyDescent="0.25">
      <c r="A85" t="s">
        <v>37</v>
      </c>
      <c r="B85" t="s">
        <v>52</v>
      </c>
      <c r="C85">
        <v>1</v>
      </c>
      <c r="D85">
        <v>1</v>
      </c>
      <c r="E85">
        <v>6</v>
      </c>
      <c r="F85">
        <v>9</v>
      </c>
      <c r="G85">
        <v>2</v>
      </c>
      <c r="H85">
        <f t="shared" si="2"/>
        <v>22</v>
      </c>
      <c r="I85">
        <v>2</v>
      </c>
      <c r="J85">
        <v>1</v>
      </c>
      <c r="K85">
        <v>0.98</v>
      </c>
      <c r="L85">
        <v>0.01</v>
      </c>
      <c r="M85">
        <f>Tableau1[[#This Row],[Cl2free (mgCl2/L)]]/Tableau1[[#This Row],[Cl2 injected (mgCl2/L)]]</f>
        <v>1.6666666666666668E-3</v>
      </c>
      <c r="N85">
        <v>0.79</v>
      </c>
      <c r="O85">
        <f>Tableau1[[#This Row],[Cl2total (mgCl2/L)]]/Tableau1[[#This Row],[Cl2 injected (mgCl2/L)]]</f>
        <v>0.13166666666666668</v>
      </c>
      <c r="P85">
        <v>8.4499999999999993</v>
      </c>
      <c r="Q85">
        <v>135.29399758154631</v>
      </c>
      <c r="R85">
        <v>61.823951222149887</v>
      </c>
      <c r="S85">
        <f>Tableau1[[#This Row],[dioxane (microgram/L)]]/Tableau1[[#This Row],[Dioxane C0]]</f>
        <v>0.456960044993027</v>
      </c>
      <c r="T85">
        <v>87.217905063335962</v>
      </c>
      <c r="U85">
        <v>57.316890956029042</v>
      </c>
      <c r="V85">
        <f>Tableau1[[#This Row],[sucralose (microgram/L]]/Tableau1[[#This Row],[sucralose C0 (microgram/L)]]</f>
        <v>0.65716885672049352</v>
      </c>
      <c r="W85">
        <v>61.168037497513417</v>
      </c>
      <c r="Y85">
        <v>0</v>
      </c>
      <c r="AB85" t="e">
        <f>Tableau1[[#This Row],[Carbamazepine (microgram/L)]]/Tableau1[[#This Row],[Carbamazepine C0 (microgram/L)]]</f>
        <v>#DIV/0!</v>
      </c>
    </row>
    <row r="86" spans="1:28" hidden="1" x14ac:dyDescent="0.25">
      <c r="A86" t="s">
        <v>37</v>
      </c>
      <c r="B86" t="s">
        <v>52</v>
      </c>
      <c r="C86">
        <v>1</v>
      </c>
      <c r="D86">
        <v>1</v>
      </c>
      <c r="E86">
        <v>6</v>
      </c>
      <c r="F86">
        <v>9</v>
      </c>
      <c r="G86">
        <v>3</v>
      </c>
      <c r="H86">
        <f t="shared" si="2"/>
        <v>23</v>
      </c>
      <c r="I86">
        <v>2</v>
      </c>
      <c r="J86">
        <v>1</v>
      </c>
      <c r="K86">
        <v>0.98</v>
      </c>
      <c r="L86">
        <v>0.02</v>
      </c>
      <c r="M86">
        <f>Tableau1[[#This Row],[Cl2free (mgCl2/L)]]/Tableau1[[#This Row],[Cl2 injected (mgCl2/L)]]</f>
        <v>3.3333333333333335E-3</v>
      </c>
      <c r="N86">
        <v>0.44</v>
      </c>
      <c r="O86">
        <f>Tableau1[[#This Row],[Cl2total (mgCl2/L)]]/Tableau1[[#This Row],[Cl2 injected (mgCl2/L)]]</f>
        <v>7.3333333333333334E-2</v>
      </c>
      <c r="P86">
        <v>8.33</v>
      </c>
      <c r="Q86">
        <v>135.29399758154631</v>
      </c>
      <c r="R86">
        <v>53.972911796523228</v>
      </c>
      <c r="S86">
        <f>Tableau1[[#This Row],[dioxane (microgram/L)]]/Tableau1[[#This Row],[Dioxane C0]]</f>
        <v>0.39893057165371959</v>
      </c>
      <c r="T86">
        <v>87.217905063335962</v>
      </c>
      <c r="U86">
        <v>52.00889398332172</v>
      </c>
      <c r="V86">
        <f>Tableau1[[#This Row],[sucralose (microgram/L]]/Tableau1[[#This Row],[sucralose C0 (microgram/L)]]</f>
        <v>0.59630982818899247</v>
      </c>
      <c r="W86">
        <v>61.168037497513417</v>
      </c>
      <c r="Y86">
        <v>0</v>
      </c>
      <c r="AB86" t="e">
        <f>Tableau1[[#This Row],[Carbamazepine (microgram/L)]]/Tableau1[[#This Row],[Carbamazepine C0 (microgram/L)]]</f>
        <v>#DIV/0!</v>
      </c>
    </row>
    <row r="87" spans="1:28" hidden="1" x14ac:dyDescent="0.25">
      <c r="A87" t="s">
        <v>37</v>
      </c>
      <c r="B87" t="s">
        <v>52</v>
      </c>
      <c r="C87">
        <v>1</v>
      </c>
      <c r="D87">
        <v>1</v>
      </c>
      <c r="E87">
        <v>6</v>
      </c>
      <c r="F87">
        <v>9</v>
      </c>
      <c r="G87">
        <v>4</v>
      </c>
      <c r="H87">
        <f t="shared" si="2"/>
        <v>24</v>
      </c>
      <c r="I87">
        <v>2</v>
      </c>
      <c r="J87">
        <v>1</v>
      </c>
      <c r="K87">
        <v>0.98</v>
      </c>
      <c r="L87">
        <v>0.01</v>
      </c>
      <c r="M87">
        <f>Tableau1[[#This Row],[Cl2free (mgCl2/L)]]/Tableau1[[#This Row],[Cl2 injected (mgCl2/L)]]</f>
        <v>1.6666666666666668E-3</v>
      </c>
      <c r="N87">
        <v>0.21</v>
      </c>
      <c r="O87">
        <f>Tableau1[[#This Row],[Cl2total (mgCl2/L)]]/Tableau1[[#This Row],[Cl2 injected (mgCl2/L)]]</f>
        <v>3.4999999999999996E-2</v>
      </c>
      <c r="P87">
        <v>8.2799999999999994</v>
      </c>
      <c r="Q87">
        <v>135.29399758154631</v>
      </c>
      <c r="R87">
        <v>53.318280399241686</v>
      </c>
      <c r="S87">
        <f>Tableau1[[#This Row],[dioxane (microgram/L)]]/Tableau1[[#This Row],[Dioxane C0]]</f>
        <v>0.39409198746681234</v>
      </c>
      <c r="T87">
        <v>87.217905063335962</v>
      </c>
      <c r="U87">
        <v>47.817789390954481</v>
      </c>
      <c r="V87">
        <f>Tableau1[[#This Row],[sucralose (microgram/L]]/Tableau1[[#This Row],[sucralose C0 (microgram/L)]]</f>
        <v>0.5482565690637734</v>
      </c>
      <c r="W87">
        <v>61.168037497513417</v>
      </c>
      <c r="Y87">
        <v>0</v>
      </c>
      <c r="AB87" t="e">
        <f>Tableau1[[#This Row],[Carbamazepine (microgram/L)]]/Tableau1[[#This Row],[Carbamazepine C0 (microgram/L)]]</f>
        <v>#DIV/0!</v>
      </c>
    </row>
    <row r="88" spans="1:28" hidden="1" x14ac:dyDescent="0.25">
      <c r="A88" t="s">
        <v>26</v>
      </c>
      <c r="B88" t="s">
        <v>52</v>
      </c>
      <c r="C88">
        <v>1</v>
      </c>
      <c r="D88">
        <v>1</v>
      </c>
      <c r="E88">
        <v>9.6</v>
      </c>
      <c r="F88">
        <v>5</v>
      </c>
      <c r="G88">
        <v>0</v>
      </c>
      <c r="H88">
        <f t="shared" si="2"/>
        <v>20</v>
      </c>
      <c r="I88">
        <v>2</v>
      </c>
      <c r="J88">
        <v>1</v>
      </c>
      <c r="K88">
        <v>0.98</v>
      </c>
      <c r="L88">
        <v>1.95</v>
      </c>
      <c r="M88">
        <f>Tableau1[[#This Row],[Cl2free (mgCl2/L)]]/Tableau1[[#This Row],[Cl2 injected (mgCl2/L)]]</f>
        <v>0.203125</v>
      </c>
      <c r="N88">
        <v>5</v>
      </c>
      <c r="O88">
        <f>Tableau1[[#This Row],[Cl2total (mgCl2/L)]]/Tableau1[[#This Row],[Cl2 injected (mgCl2/L)]]</f>
        <v>0.52083333333333337</v>
      </c>
      <c r="P88">
        <v>5.62</v>
      </c>
      <c r="Q88">
        <v>82.882817872071243</v>
      </c>
      <c r="R88">
        <v>82.882817872071243</v>
      </c>
      <c r="S88">
        <f>Tableau1[[#This Row],[dioxane (microgram/L)]]/Tableau1[[#This Row],[Dioxane C0]]</f>
        <v>1</v>
      </c>
      <c r="T88">
        <v>82.46</v>
      </c>
      <c r="U88">
        <v>82.46</v>
      </c>
      <c r="V88">
        <f>Tableau1[[#This Row],[sucralose (microgram/L]]/Tableau1[[#This Row],[sucralose C0 (microgram/L)]]</f>
        <v>1</v>
      </c>
      <c r="AB88" t="e">
        <f>Tableau1[[#This Row],[Carbamazepine (microgram/L)]]/Tableau1[[#This Row],[Carbamazepine C0 (microgram/L)]]</f>
        <v>#DIV/0!</v>
      </c>
    </row>
    <row r="89" spans="1:28" hidden="1" x14ac:dyDescent="0.25">
      <c r="A89" t="s">
        <v>26</v>
      </c>
      <c r="B89" t="s">
        <v>52</v>
      </c>
      <c r="C89">
        <v>1</v>
      </c>
      <c r="D89">
        <v>1</v>
      </c>
      <c r="E89">
        <v>9.6</v>
      </c>
      <c r="F89">
        <v>5</v>
      </c>
      <c r="G89">
        <v>0.5</v>
      </c>
      <c r="H89">
        <f t="shared" si="2"/>
        <v>20.5</v>
      </c>
      <c r="I89">
        <v>2</v>
      </c>
      <c r="J89">
        <v>1</v>
      </c>
      <c r="K89">
        <v>0.98</v>
      </c>
      <c r="L89">
        <v>1.85</v>
      </c>
      <c r="M89">
        <f>Tableau1[[#This Row],[Cl2free (mgCl2/L)]]/Tableau1[[#This Row],[Cl2 injected (mgCl2/L)]]</f>
        <v>0.19270833333333334</v>
      </c>
      <c r="N89">
        <v>3.35</v>
      </c>
      <c r="O89">
        <f>Tableau1[[#This Row],[Cl2total (mgCl2/L)]]/Tableau1[[#This Row],[Cl2 injected (mgCl2/L)]]</f>
        <v>0.34895833333333337</v>
      </c>
      <c r="P89">
        <v>5.41</v>
      </c>
      <c r="Q89">
        <v>82.882817872071243</v>
      </c>
      <c r="R89">
        <v>18.92323864737012</v>
      </c>
      <c r="S89">
        <f>Tableau1[[#This Row],[dioxane (microgram/L)]]/Tableau1[[#This Row],[Dioxane C0]]</f>
        <v>0.22831316710995445</v>
      </c>
      <c r="T89">
        <v>82.46</v>
      </c>
      <c r="U89">
        <v>37.75</v>
      </c>
      <c r="V89">
        <f>Tableau1[[#This Row],[sucralose (microgram/L]]/Tableau1[[#This Row],[sucralose C0 (microgram/L)]]</f>
        <v>0.45779772010671843</v>
      </c>
      <c r="AB89" t="e">
        <f>Tableau1[[#This Row],[Carbamazepine (microgram/L)]]/Tableau1[[#This Row],[Carbamazepine C0 (microgram/L)]]</f>
        <v>#DIV/0!</v>
      </c>
    </row>
    <row r="90" spans="1:28" hidden="1" x14ac:dyDescent="0.25">
      <c r="A90" t="s">
        <v>26</v>
      </c>
      <c r="B90" t="s">
        <v>52</v>
      </c>
      <c r="C90">
        <v>1</v>
      </c>
      <c r="D90">
        <v>1</v>
      </c>
      <c r="E90">
        <v>9.6</v>
      </c>
      <c r="F90">
        <v>5</v>
      </c>
      <c r="G90">
        <v>1</v>
      </c>
      <c r="H90">
        <f t="shared" si="2"/>
        <v>21</v>
      </c>
      <c r="I90">
        <v>2</v>
      </c>
      <c r="J90">
        <v>1</v>
      </c>
      <c r="K90">
        <v>0.98</v>
      </c>
      <c r="L90">
        <v>1.6</v>
      </c>
      <c r="M90">
        <f>Tableau1[[#This Row],[Cl2free (mgCl2/L)]]/Tableau1[[#This Row],[Cl2 injected (mgCl2/L)]]</f>
        <v>0.16666666666666669</v>
      </c>
      <c r="N90">
        <v>2.4500000000000002</v>
      </c>
      <c r="O90">
        <f>Tableau1[[#This Row],[Cl2total (mgCl2/L)]]/Tableau1[[#This Row],[Cl2 injected (mgCl2/L)]]</f>
        <v>0.25520833333333337</v>
      </c>
      <c r="P90">
        <v>5.2</v>
      </c>
      <c r="Q90">
        <v>82.882817872071243</v>
      </c>
      <c r="R90">
        <v>2.898949466988356</v>
      </c>
      <c r="S90">
        <f>Tableau1[[#This Row],[dioxane (microgram/L)]]/Tableau1[[#This Row],[Dioxane C0]]</f>
        <v>3.4976482960109467E-2</v>
      </c>
      <c r="T90">
        <v>82.46</v>
      </c>
      <c r="U90">
        <v>12.09</v>
      </c>
      <c r="V90">
        <f>Tableau1[[#This Row],[sucralose (microgram/L]]/Tableau1[[#This Row],[sucralose C0 (microgram/L)]]</f>
        <v>0.14661654135338348</v>
      </c>
      <c r="AB90" t="e">
        <f>Tableau1[[#This Row],[Carbamazepine (microgram/L)]]/Tableau1[[#This Row],[Carbamazepine C0 (microgram/L)]]</f>
        <v>#DIV/0!</v>
      </c>
    </row>
    <row r="91" spans="1:28" hidden="1" x14ac:dyDescent="0.25">
      <c r="A91" t="s">
        <v>26</v>
      </c>
      <c r="B91" t="s">
        <v>52</v>
      </c>
      <c r="C91">
        <v>1</v>
      </c>
      <c r="D91">
        <v>1</v>
      </c>
      <c r="E91">
        <v>9.6</v>
      </c>
      <c r="F91">
        <v>5</v>
      </c>
      <c r="G91">
        <v>1.5</v>
      </c>
      <c r="H91">
        <f t="shared" si="2"/>
        <v>21.5</v>
      </c>
      <c r="I91">
        <v>2</v>
      </c>
      <c r="J91">
        <v>1</v>
      </c>
      <c r="K91">
        <v>0.98</v>
      </c>
      <c r="L91">
        <v>1.2</v>
      </c>
      <c r="M91">
        <f>Tableau1[[#This Row],[Cl2free (mgCl2/L)]]/Tableau1[[#This Row],[Cl2 injected (mgCl2/L)]]</f>
        <v>0.125</v>
      </c>
      <c r="N91">
        <v>1.6</v>
      </c>
      <c r="O91">
        <f>Tableau1[[#This Row],[Cl2total (mgCl2/L)]]/Tableau1[[#This Row],[Cl2 injected (mgCl2/L)]]</f>
        <v>0.16666666666666669</v>
      </c>
      <c r="P91">
        <v>5.05</v>
      </c>
      <c r="Q91">
        <v>82.882817872071243</v>
      </c>
      <c r="R91">
        <v>1.1284630396940301</v>
      </c>
      <c r="S91">
        <f>Tableau1[[#This Row],[dioxane (microgram/L)]]/Tableau1[[#This Row],[Dioxane C0]]</f>
        <v>1.3615162571279862E-2</v>
      </c>
      <c r="T91">
        <v>82.46</v>
      </c>
      <c r="U91">
        <v>3.46</v>
      </c>
      <c r="V91">
        <f>Tableau1[[#This Row],[sucralose (microgram/L]]/Tableau1[[#This Row],[sucralose C0 (microgram/L)]]</f>
        <v>4.1959738054814455E-2</v>
      </c>
      <c r="AB91" t="e">
        <f>Tableau1[[#This Row],[Carbamazepine (microgram/L)]]/Tableau1[[#This Row],[Carbamazepine C0 (microgram/L)]]</f>
        <v>#DIV/0!</v>
      </c>
    </row>
    <row r="92" spans="1:28" hidden="1" x14ac:dyDescent="0.25">
      <c r="A92" t="s">
        <v>26</v>
      </c>
      <c r="B92" t="s">
        <v>52</v>
      </c>
      <c r="C92">
        <v>1</v>
      </c>
      <c r="D92">
        <v>1</v>
      </c>
      <c r="E92">
        <v>9.6</v>
      </c>
      <c r="F92">
        <v>5</v>
      </c>
      <c r="G92">
        <v>2</v>
      </c>
      <c r="H92">
        <f t="shared" si="2"/>
        <v>22</v>
      </c>
      <c r="I92">
        <v>2</v>
      </c>
      <c r="J92">
        <v>1</v>
      </c>
      <c r="K92">
        <v>0.98</v>
      </c>
      <c r="L92">
        <v>0.81</v>
      </c>
      <c r="M92">
        <f>Tableau1[[#This Row],[Cl2free (mgCl2/L)]]/Tableau1[[#This Row],[Cl2 injected (mgCl2/L)]]</f>
        <v>8.4375000000000006E-2</v>
      </c>
      <c r="N92">
        <v>1.03</v>
      </c>
      <c r="O92">
        <f>Tableau1[[#This Row],[Cl2total (mgCl2/L)]]/Tableau1[[#This Row],[Cl2 injected (mgCl2/L)]]</f>
        <v>0.10729166666666667</v>
      </c>
      <c r="P92">
        <v>4.8600000000000003</v>
      </c>
      <c r="Q92">
        <v>82.882817872071243</v>
      </c>
      <c r="R92">
        <v>0</v>
      </c>
      <c r="S92">
        <f>Tableau1[[#This Row],[dioxane (microgram/L)]]/Tableau1[[#This Row],[Dioxane C0]]</f>
        <v>0</v>
      </c>
      <c r="T92">
        <v>82.46</v>
      </c>
      <c r="U92">
        <v>0</v>
      </c>
      <c r="V92">
        <f>Tableau1[[#This Row],[sucralose (microgram/L]]/Tableau1[[#This Row],[sucralose C0 (microgram/L)]]</f>
        <v>0</v>
      </c>
      <c r="AB92" t="e">
        <f>Tableau1[[#This Row],[Carbamazepine (microgram/L)]]/Tableau1[[#This Row],[Carbamazepine C0 (microgram/L)]]</f>
        <v>#DIV/0!</v>
      </c>
    </row>
    <row r="93" spans="1:28" hidden="1" x14ac:dyDescent="0.25">
      <c r="A93" t="s">
        <v>26</v>
      </c>
      <c r="B93" t="s">
        <v>52</v>
      </c>
      <c r="C93">
        <v>1</v>
      </c>
      <c r="D93">
        <v>1</v>
      </c>
      <c r="E93">
        <v>9.6</v>
      </c>
      <c r="F93">
        <v>5</v>
      </c>
      <c r="G93">
        <v>2.5</v>
      </c>
      <c r="H93">
        <f t="shared" si="2"/>
        <v>22.5</v>
      </c>
      <c r="I93">
        <v>2</v>
      </c>
      <c r="J93">
        <v>1</v>
      </c>
      <c r="K93">
        <v>0.98</v>
      </c>
      <c r="L93">
        <v>0.54</v>
      </c>
      <c r="M93">
        <f>Tableau1[[#This Row],[Cl2free (mgCl2/L)]]/Tableau1[[#This Row],[Cl2 injected (mgCl2/L)]]</f>
        <v>5.6250000000000008E-2</v>
      </c>
      <c r="N93">
        <v>0.68</v>
      </c>
      <c r="O93">
        <f>Tableau1[[#This Row],[Cl2total (mgCl2/L)]]/Tableau1[[#This Row],[Cl2 injected (mgCl2/L)]]</f>
        <v>7.0833333333333345E-2</v>
      </c>
      <c r="P93">
        <v>4.8</v>
      </c>
      <c r="Q93">
        <v>82.882817872071243</v>
      </c>
      <c r="R93">
        <v>0</v>
      </c>
      <c r="S93">
        <f>Tableau1[[#This Row],[dioxane (microgram/L)]]/Tableau1[[#This Row],[Dioxane C0]]</f>
        <v>0</v>
      </c>
      <c r="T93">
        <v>82.46</v>
      </c>
      <c r="U93">
        <v>0</v>
      </c>
      <c r="V93">
        <f>Tableau1[[#This Row],[sucralose (microgram/L]]/Tableau1[[#This Row],[sucralose C0 (microgram/L)]]</f>
        <v>0</v>
      </c>
      <c r="AB93" t="e">
        <f>Tableau1[[#This Row],[Carbamazepine (microgram/L)]]/Tableau1[[#This Row],[Carbamazepine C0 (microgram/L)]]</f>
        <v>#DIV/0!</v>
      </c>
    </row>
    <row r="94" spans="1:28" hidden="1" x14ac:dyDescent="0.25">
      <c r="A94" t="s">
        <v>26</v>
      </c>
      <c r="B94" t="s">
        <v>52</v>
      </c>
      <c r="C94">
        <v>1</v>
      </c>
      <c r="D94">
        <v>1</v>
      </c>
      <c r="E94">
        <v>9.6</v>
      </c>
      <c r="F94">
        <v>5</v>
      </c>
      <c r="G94">
        <v>3</v>
      </c>
      <c r="H94">
        <f t="shared" si="2"/>
        <v>23</v>
      </c>
      <c r="I94">
        <v>2</v>
      </c>
      <c r="J94">
        <v>1</v>
      </c>
      <c r="K94">
        <v>0.98</v>
      </c>
      <c r="L94">
        <v>0.36</v>
      </c>
      <c r="M94">
        <f>Tableau1[[#This Row],[Cl2free (mgCl2/L)]]/Tableau1[[#This Row],[Cl2 injected (mgCl2/L)]]</f>
        <v>3.7499999999999999E-2</v>
      </c>
      <c r="N94">
        <v>0.42</v>
      </c>
      <c r="O94">
        <f>Tableau1[[#This Row],[Cl2total (mgCl2/L)]]/Tableau1[[#This Row],[Cl2 injected (mgCl2/L)]]</f>
        <v>4.3749999999999997E-2</v>
      </c>
      <c r="P94">
        <v>4.71</v>
      </c>
      <c r="Q94">
        <v>82.882817872071243</v>
      </c>
      <c r="R94">
        <v>0</v>
      </c>
      <c r="S94">
        <f>Tableau1[[#This Row],[dioxane (microgram/L)]]/Tableau1[[#This Row],[Dioxane C0]]</f>
        <v>0</v>
      </c>
      <c r="T94">
        <v>82.46</v>
      </c>
      <c r="U94">
        <v>0</v>
      </c>
      <c r="V94">
        <f>Tableau1[[#This Row],[sucralose (microgram/L]]/Tableau1[[#This Row],[sucralose C0 (microgram/L)]]</f>
        <v>0</v>
      </c>
      <c r="AB94" t="e">
        <f>Tableau1[[#This Row],[Carbamazepine (microgram/L)]]/Tableau1[[#This Row],[Carbamazepine C0 (microgram/L)]]</f>
        <v>#DIV/0!</v>
      </c>
    </row>
    <row r="95" spans="1:28" hidden="1" x14ac:dyDescent="0.25">
      <c r="A95" t="s">
        <v>32</v>
      </c>
      <c r="B95" t="s">
        <v>52</v>
      </c>
      <c r="C95">
        <v>1</v>
      </c>
      <c r="D95">
        <v>1</v>
      </c>
      <c r="E95">
        <v>9.6</v>
      </c>
      <c r="F95">
        <v>7</v>
      </c>
      <c r="G95">
        <v>0</v>
      </c>
      <c r="H95">
        <f t="shared" si="2"/>
        <v>20</v>
      </c>
      <c r="I95">
        <v>2</v>
      </c>
      <c r="J95">
        <v>1</v>
      </c>
      <c r="K95">
        <v>0.98</v>
      </c>
      <c r="L95">
        <v>1.9</v>
      </c>
      <c r="M95">
        <f>Tableau1[[#This Row],[Cl2free (mgCl2/L)]]/Tableau1[[#This Row],[Cl2 injected (mgCl2/L)]]</f>
        <v>0.19791666666666666</v>
      </c>
      <c r="N95">
        <v>2.4500000000000002</v>
      </c>
      <c r="O95">
        <f>Tableau1[[#This Row],[Cl2total (mgCl2/L)]]/Tableau1[[#This Row],[Cl2 injected (mgCl2/L)]]</f>
        <v>0.25520833333333337</v>
      </c>
      <c r="P95">
        <v>7.42</v>
      </c>
      <c r="Q95">
        <v>100.1376451338124</v>
      </c>
      <c r="R95">
        <v>100.1376451338124</v>
      </c>
      <c r="S95">
        <f>Tableau1[[#This Row],[dioxane (microgram/L)]]/Tableau1[[#This Row],[Dioxane C0]]</f>
        <v>1</v>
      </c>
      <c r="T95">
        <v>90.617055349814834</v>
      </c>
      <c r="U95">
        <v>90.617055349814834</v>
      </c>
      <c r="V95">
        <f>Tableau1[[#This Row],[sucralose (microgram/L]]/Tableau1[[#This Row],[sucralose C0 (microgram/L)]]</f>
        <v>1</v>
      </c>
      <c r="W95">
        <v>61.168037497513417</v>
      </c>
      <c r="Y95">
        <v>0</v>
      </c>
      <c r="AB95" t="e">
        <f>Tableau1[[#This Row],[Carbamazepine (microgram/L)]]/Tableau1[[#This Row],[Carbamazepine C0 (microgram/L)]]</f>
        <v>#DIV/0!</v>
      </c>
    </row>
    <row r="96" spans="1:28" hidden="1" x14ac:dyDescent="0.25">
      <c r="A96" t="s">
        <v>32</v>
      </c>
      <c r="B96" t="s">
        <v>52</v>
      </c>
      <c r="C96">
        <v>1</v>
      </c>
      <c r="D96">
        <v>1</v>
      </c>
      <c r="E96">
        <v>9.6</v>
      </c>
      <c r="F96">
        <v>7</v>
      </c>
      <c r="G96">
        <v>1</v>
      </c>
      <c r="H96">
        <f t="shared" si="2"/>
        <v>21</v>
      </c>
      <c r="I96">
        <v>2</v>
      </c>
      <c r="J96">
        <v>1</v>
      </c>
      <c r="K96">
        <v>0.98</v>
      </c>
      <c r="L96">
        <v>1.1000000000000001</v>
      </c>
      <c r="M96">
        <f>Tableau1[[#This Row],[Cl2free (mgCl2/L)]]/Tableau1[[#This Row],[Cl2 injected (mgCl2/L)]]</f>
        <v>0.11458333333333334</v>
      </c>
      <c r="N96">
        <v>1.3</v>
      </c>
      <c r="O96">
        <f>Tableau1[[#This Row],[Cl2total (mgCl2/L)]]/Tableau1[[#This Row],[Cl2 injected (mgCl2/L)]]</f>
        <v>0.13541666666666669</v>
      </c>
      <c r="P96">
        <v>7.4</v>
      </c>
      <c r="Q96">
        <v>100.1376451338124</v>
      </c>
      <c r="R96">
        <v>65.831914605823357</v>
      </c>
      <c r="S96">
        <f>Tableau1[[#This Row],[dioxane (microgram/L)]]/Tableau1[[#This Row],[Dioxane C0]]</f>
        <v>0.65741424733778375</v>
      </c>
      <c r="T96">
        <v>90.617055349814834</v>
      </c>
      <c r="U96">
        <v>65.510959863877488</v>
      </c>
      <c r="V96">
        <f>Tableau1[[#This Row],[sucralose (microgram/L]]/Tableau1[[#This Row],[sucralose C0 (microgram/L)]]</f>
        <v>0.72294293398722043</v>
      </c>
      <c r="W96">
        <v>61.168037497513417</v>
      </c>
      <c r="Y96">
        <v>0</v>
      </c>
      <c r="AB96" t="e">
        <f>Tableau1[[#This Row],[Carbamazepine (microgram/L)]]/Tableau1[[#This Row],[Carbamazepine C0 (microgram/L)]]</f>
        <v>#DIV/0!</v>
      </c>
    </row>
    <row r="97" spans="1:28" hidden="1" x14ac:dyDescent="0.25">
      <c r="A97" t="s">
        <v>32</v>
      </c>
      <c r="B97" t="s">
        <v>52</v>
      </c>
      <c r="C97">
        <v>1</v>
      </c>
      <c r="D97">
        <v>1</v>
      </c>
      <c r="E97">
        <v>9.6</v>
      </c>
      <c r="F97">
        <v>7</v>
      </c>
      <c r="G97">
        <v>2</v>
      </c>
      <c r="H97">
        <f t="shared" si="2"/>
        <v>22</v>
      </c>
      <c r="I97">
        <v>2</v>
      </c>
      <c r="J97">
        <v>1</v>
      </c>
      <c r="K97">
        <v>0.98</v>
      </c>
      <c r="L97">
        <v>0.63</v>
      </c>
      <c r="M97">
        <f>Tableau1[[#This Row],[Cl2free (mgCl2/L)]]/Tableau1[[#This Row],[Cl2 injected (mgCl2/L)]]</f>
        <v>6.5625000000000003E-2</v>
      </c>
      <c r="N97">
        <v>0.68</v>
      </c>
      <c r="O97">
        <f>Tableau1[[#This Row],[Cl2total (mgCl2/L)]]/Tableau1[[#This Row],[Cl2 injected (mgCl2/L)]]</f>
        <v>7.0833333333333345E-2</v>
      </c>
      <c r="P97">
        <v>7.35</v>
      </c>
      <c r="Q97">
        <v>100.1376451338124</v>
      </c>
      <c r="R97">
        <v>41.506782888926168</v>
      </c>
      <c r="S97">
        <f>Tableau1[[#This Row],[dioxane (microgram/L)]]/Tableau1[[#This Row],[Dioxane C0]]</f>
        <v>0.41449729353492676</v>
      </c>
      <c r="T97">
        <v>90.617055349814834</v>
      </c>
      <c r="U97">
        <v>59.013236913221903</v>
      </c>
      <c r="V97">
        <f>Tableau1[[#This Row],[sucralose (microgram/L]]/Tableau1[[#This Row],[sucralose C0 (microgram/L)]]</f>
        <v>0.65123763606541085</v>
      </c>
      <c r="W97">
        <v>61.168037497513417</v>
      </c>
      <c r="Y97">
        <v>0</v>
      </c>
      <c r="AB97" t="e">
        <f>Tableau1[[#This Row],[Carbamazepine (microgram/L)]]/Tableau1[[#This Row],[Carbamazepine C0 (microgram/L)]]</f>
        <v>#DIV/0!</v>
      </c>
    </row>
    <row r="98" spans="1:28" hidden="1" x14ac:dyDescent="0.25">
      <c r="A98" t="s">
        <v>32</v>
      </c>
      <c r="B98" t="s">
        <v>52</v>
      </c>
      <c r="C98">
        <v>1</v>
      </c>
      <c r="D98">
        <v>1</v>
      </c>
      <c r="E98">
        <v>9.6</v>
      </c>
      <c r="F98">
        <v>7</v>
      </c>
      <c r="G98">
        <v>3</v>
      </c>
      <c r="H98">
        <f t="shared" ref="H98:H129" si="3">G98+20</f>
        <v>23</v>
      </c>
      <c r="I98">
        <v>2</v>
      </c>
      <c r="J98">
        <v>1</v>
      </c>
      <c r="K98">
        <v>0.98</v>
      </c>
      <c r="L98">
        <v>0.2</v>
      </c>
      <c r="M98">
        <f>Tableau1[[#This Row],[Cl2free (mgCl2/L)]]/Tableau1[[#This Row],[Cl2 injected (mgCl2/L)]]</f>
        <v>2.0833333333333336E-2</v>
      </c>
      <c r="N98">
        <v>0.36</v>
      </c>
      <c r="O98">
        <f>Tableau1[[#This Row],[Cl2total (mgCl2/L)]]/Tableau1[[#This Row],[Cl2 injected (mgCl2/L)]]</f>
        <v>3.7499999999999999E-2</v>
      </c>
      <c r="P98">
        <v>7.36</v>
      </c>
      <c r="Q98">
        <v>100.1376451338124</v>
      </c>
      <c r="R98">
        <v>33.556865622532399</v>
      </c>
      <c r="S98">
        <f>Tableau1[[#This Row],[dioxane (microgram/L)]]/Tableau1[[#This Row],[Dioxane C0]]</f>
        <v>0.33510739720003274</v>
      </c>
      <c r="T98">
        <v>90.617055349814834</v>
      </c>
      <c r="U98">
        <v>42.119157241517371</v>
      </c>
      <c r="V98">
        <f>Tableau1[[#This Row],[sucralose (microgram/L]]/Tableau1[[#This Row],[sucralose C0 (microgram/L)]]</f>
        <v>0.46480386146870573</v>
      </c>
      <c r="W98">
        <v>61.168037497513417</v>
      </c>
      <c r="Y98">
        <v>0</v>
      </c>
      <c r="AB98" t="e">
        <f>Tableau1[[#This Row],[Carbamazepine (microgram/L)]]/Tableau1[[#This Row],[Carbamazepine C0 (microgram/L)]]</f>
        <v>#DIV/0!</v>
      </c>
    </row>
    <row r="99" spans="1:28" hidden="1" x14ac:dyDescent="0.25">
      <c r="A99" t="s">
        <v>32</v>
      </c>
      <c r="B99" t="s">
        <v>52</v>
      </c>
      <c r="C99">
        <v>1</v>
      </c>
      <c r="D99">
        <v>1</v>
      </c>
      <c r="E99">
        <v>9.6</v>
      </c>
      <c r="F99">
        <v>7</v>
      </c>
      <c r="G99">
        <v>4</v>
      </c>
      <c r="H99">
        <f t="shared" si="3"/>
        <v>24</v>
      </c>
      <c r="I99">
        <v>2</v>
      </c>
      <c r="J99">
        <v>1</v>
      </c>
      <c r="K99">
        <v>0.98</v>
      </c>
      <c r="L99">
        <v>0.12</v>
      </c>
      <c r="M99">
        <f>Tableau1[[#This Row],[Cl2free (mgCl2/L)]]/Tableau1[[#This Row],[Cl2 injected (mgCl2/L)]]</f>
        <v>1.2500000000000001E-2</v>
      </c>
      <c r="N99">
        <v>0.17</v>
      </c>
      <c r="O99">
        <f>Tableau1[[#This Row],[Cl2total (mgCl2/L)]]/Tableau1[[#This Row],[Cl2 injected (mgCl2/L)]]</f>
        <v>1.7708333333333336E-2</v>
      </c>
      <c r="P99">
        <v>7.36</v>
      </c>
      <c r="Q99">
        <v>100.1376451338124</v>
      </c>
      <c r="R99">
        <v>25.962375565582189</v>
      </c>
      <c r="S99">
        <f>Tableau1[[#This Row],[dioxane (microgram/L)]]/Tableau1[[#This Row],[Dioxane C0]]</f>
        <v>0.25926688740172654</v>
      </c>
      <c r="T99">
        <v>90.617055349814834</v>
      </c>
      <c r="U99">
        <v>39.990116104494049</v>
      </c>
      <c r="V99">
        <f>Tableau1[[#This Row],[sucralose (microgram/L]]/Tableau1[[#This Row],[sucralose C0 (microgram/L)]]</f>
        <v>0.44130893406453825</v>
      </c>
      <c r="W99">
        <v>61.168037497513417</v>
      </c>
      <c r="Y99">
        <v>0</v>
      </c>
      <c r="AB99" t="e">
        <f>Tableau1[[#This Row],[Carbamazepine (microgram/L)]]/Tableau1[[#This Row],[Carbamazepine C0 (microgram/L)]]</f>
        <v>#DIV/0!</v>
      </c>
    </row>
    <row r="100" spans="1:28" hidden="1" x14ac:dyDescent="0.25">
      <c r="A100" t="s">
        <v>38</v>
      </c>
      <c r="B100" t="s">
        <v>52</v>
      </c>
      <c r="C100">
        <v>1</v>
      </c>
      <c r="D100">
        <v>1</v>
      </c>
      <c r="E100">
        <v>9.6</v>
      </c>
      <c r="F100">
        <v>9</v>
      </c>
      <c r="G100">
        <v>0</v>
      </c>
      <c r="H100">
        <f t="shared" si="3"/>
        <v>20</v>
      </c>
      <c r="I100">
        <v>2</v>
      </c>
      <c r="J100">
        <v>1</v>
      </c>
      <c r="K100">
        <v>0.98</v>
      </c>
      <c r="L100">
        <v>1.9</v>
      </c>
      <c r="M100">
        <f>Tableau1[[#This Row],[Cl2free (mgCl2/L)]]/Tableau1[[#This Row],[Cl2 injected (mgCl2/L)]]</f>
        <v>0.19791666666666666</v>
      </c>
      <c r="N100">
        <v>2.4500000000000002</v>
      </c>
      <c r="O100">
        <f>Tableau1[[#This Row],[Cl2total (mgCl2/L)]]/Tableau1[[#This Row],[Cl2 injected (mgCl2/L)]]</f>
        <v>0.25520833333333337</v>
      </c>
      <c r="P100">
        <v>8.82</v>
      </c>
      <c r="Q100">
        <v>124.1823445949066</v>
      </c>
      <c r="R100">
        <v>124.1823445949066</v>
      </c>
      <c r="S100">
        <f>Tableau1[[#This Row],[dioxane (microgram/L)]]/Tableau1[[#This Row],[Dioxane C0]]</f>
        <v>1</v>
      </c>
      <c r="T100">
        <v>83.754718470172364</v>
      </c>
      <c r="U100">
        <v>83.754718470172364</v>
      </c>
      <c r="V100">
        <f>Tableau1[[#This Row],[sucralose (microgram/L]]/Tableau1[[#This Row],[sucralose C0 (microgram/L)]]</f>
        <v>1</v>
      </c>
      <c r="W100">
        <v>61.168037497513417</v>
      </c>
      <c r="Y100">
        <v>0</v>
      </c>
      <c r="AB100" t="e">
        <f>Tableau1[[#This Row],[Carbamazepine (microgram/L)]]/Tableau1[[#This Row],[Carbamazepine C0 (microgram/L)]]</f>
        <v>#DIV/0!</v>
      </c>
    </row>
    <row r="101" spans="1:28" hidden="1" x14ac:dyDescent="0.25">
      <c r="A101" t="s">
        <v>38</v>
      </c>
      <c r="B101" t="s">
        <v>52</v>
      </c>
      <c r="C101">
        <v>1</v>
      </c>
      <c r="D101">
        <v>1</v>
      </c>
      <c r="E101">
        <v>9.6</v>
      </c>
      <c r="F101">
        <v>9</v>
      </c>
      <c r="G101">
        <v>1</v>
      </c>
      <c r="H101">
        <f t="shared" si="3"/>
        <v>21</v>
      </c>
      <c r="I101">
        <v>2</v>
      </c>
      <c r="J101">
        <v>1</v>
      </c>
      <c r="K101">
        <v>0.98</v>
      </c>
      <c r="L101">
        <v>1.1000000000000001</v>
      </c>
      <c r="M101">
        <f>Tableau1[[#This Row],[Cl2free (mgCl2/L)]]/Tableau1[[#This Row],[Cl2 injected (mgCl2/L)]]</f>
        <v>0.11458333333333334</v>
      </c>
      <c r="N101">
        <v>1.3</v>
      </c>
      <c r="O101">
        <f>Tableau1[[#This Row],[Cl2total (mgCl2/L)]]/Tableau1[[#This Row],[Cl2 injected (mgCl2/L)]]</f>
        <v>0.13541666666666669</v>
      </c>
      <c r="P101">
        <v>8.68</v>
      </c>
      <c r="Q101">
        <v>124.1823445949066</v>
      </c>
      <c r="R101">
        <v>114.55841746417561</v>
      </c>
      <c r="S101">
        <f>Tableau1[[#This Row],[dioxane (microgram/L)]]/Tableau1[[#This Row],[Dioxane C0]]</f>
        <v>0.92250164737890028</v>
      </c>
      <c r="T101">
        <v>83.754718470172364</v>
      </c>
      <c r="U101">
        <v>76.154013671718559</v>
      </c>
      <c r="V101">
        <f>Tableau1[[#This Row],[sucralose (microgram/L]]/Tableau1[[#This Row],[sucralose C0 (microgram/L)]]</f>
        <v>0.90925042866497541</v>
      </c>
      <c r="W101">
        <v>61.168037497513417</v>
      </c>
      <c r="Y101">
        <v>0</v>
      </c>
      <c r="AB101" t="e">
        <f>Tableau1[[#This Row],[Carbamazepine (microgram/L)]]/Tableau1[[#This Row],[Carbamazepine C0 (microgram/L)]]</f>
        <v>#DIV/0!</v>
      </c>
    </row>
    <row r="102" spans="1:28" hidden="1" x14ac:dyDescent="0.25">
      <c r="A102" t="s">
        <v>38</v>
      </c>
      <c r="B102" t="s">
        <v>52</v>
      </c>
      <c r="C102">
        <v>1</v>
      </c>
      <c r="D102">
        <v>1</v>
      </c>
      <c r="E102">
        <v>9.6</v>
      </c>
      <c r="F102">
        <v>9</v>
      </c>
      <c r="G102">
        <v>2</v>
      </c>
      <c r="H102">
        <f t="shared" si="3"/>
        <v>22</v>
      </c>
      <c r="I102">
        <v>2</v>
      </c>
      <c r="J102">
        <v>1</v>
      </c>
      <c r="K102">
        <v>0.98</v>
      </c>
      <c r="L102">
        <v>0.63</v>
      </c>
      <c r="M102">
        <f>Tableau1[[#This Row],[Cl2free (mgCl2/L)]]/Tableau1[[#This Row],[Cl2 injected (mgCl2/L)]]</f>
        <v>6.5625000000000003E-2</v>
      </c>
      <c r="N102">
        <v>0.68</v>
      </c>
      <c r="O102">
        <f>Tableau1[[#This Row],[Cl2total (mgCl2/L)]]/Tableau1[[#This Row],[Cl2 injected (mgCl2/L)]]</f>
        <v>7.0833333333333345E-2</v>
      </c>
      <c r="P102">
        <v>8.49</v>
      </c>
      <c r="Q102">
        <v>124.1823445949066</v>
      </c>
      <c r="R102">
        <v>82.047963980743361</v>
      </c>
      <c r="S102">
        <f>Tableau1[[#This Row],[dioxane (microgram/L)]]/Tableau1[[#This Row],[Dioxane C0]]</f>
        <v>0.66070554754293631</v>
      </c>
      <c r="T102">
        <v>83.754718470172364</v>
      </c>
      <c r="U102">
        <v>63.630181971069632</v>
      </c>
      <c r="V102">
        <f>Tableau1[[#This Row],[sucralose (microgram/L]]/Tableau1[[#This Row],[sucralose C0 (microgram/L)]]</f>
        <v>0.75972056420594736</v>
      </c>
      <c r="W102">
        <v>61.168037497513417</v>
      </c>
      <c r="Y102">
        <v>0</v>
      </c>
      <c r="AB102" t="e">
        <f>Tableau1[[#This Row],[Carbamazepine (microgram/L)]]/Tableau1[[#This Row],[Carbamazepine C0 (microgram/L)]]</f>
        <v>#DIV/0!</v>
      </c>
    </row>
    <row r="103" spans="1:28" hidden="1" x14ac:dyDescent="0.25">
      <c r="A103" t="s">
        <v>38</v>
      </c>
      <c r="B103" t="s">
        <v>52</v>
      </c>
      <c r="C103">
        <v>1</v>
      </c>
      <c r="D103">
        <v>1</v>
      </c>
      <c r="E103">
        <v>9.6</v>
      </c>
      <c r="F103">
        <v>9</v>
      </c>
      <c r="G103">
        <v>3</v>
      </c>
      <c r="H103">
        <f t="shared" si="3"/>
        <v>23</v>
      </c>
      <c r="I103">
        <v>2</v>
      </c>
      <c r="J103">
        <v>1</v>
      </c>
      <c r="K103">
        <v>0.98</v>
      </c>
      <c r="L103">
        <v>0.2</v>
      </c>
      <c r="M103">
        <f>Tableau1[[#This Row],[Cl2free (mgCl2/L)]]/Tableau1[[#This Row],[Cl2 injected (mgCl2/L)]]</f>
        <v>2.0833333333333336E-2</v>
      </c>
      <c r="N103">
        <v>0.36</v>
      </c>
      <c r="O103">
        <f>Tableau1[[#This Row],[Cl2total (mgCl2/L)]]/Tableau1[[#This Row],[Cl2 injected (mgCl2/L)]]</f>
        <v>3.7499999999999999E-2</v>
      </c>
      <c r="P103">
        <v>8.44</v>
      </c>
      <c r="Q103">
        <v>124.1823445949066</v>
      </c>
      <c r="R103">
        <v>59.640080162128562</v>
      </c>
      <c r="S103">
        <f>Tableau1[[#This Row],[dioxane (microgram/L)]]/Tableau1[[#This Row],[Dioxane C0]]</f>
        <v>0.4802621528581989</v>
      </c>
      <c r="T103">
        <v>83.754718470172364</v>
      </c>
      <c r="U103">
        <v>54.929866893029192</v>
      </c>
      <c r="V103">
        <f>Tableau1[[#This Row],[sucralose (microgram/L]]/Tableau1[[#This Row],[sucralose C0 (microgram/L)]]</f>
        <v>0.65584205757424174</v>
      </c>
      <c r="W103">
        <v>61.168037497513417</v>
      </c>
      <c r="Y103">
        <v>0</v>
      </c>
      <c r="AB103" t="e">
        <f>Tableau1[[#This Row],[Carbamazepine (microgram/L)]]/Tableau1[[#This Row],[Carbamazepine C0 (microgram/L)]]</f>
        <v>#DIV/0!</v>
      </c>
    </row>
    <row r="104" spans="1:28" hidden="1" x14ac:dyDescent="0.25">
      <c r="A104" t="s">
        <v>38</v>
      </c>
      <c r="B104" t="s">
        <v>52</v>
      </c>
      <c r="C104">
        <v>1</v>
      </c>
      <c r="D104">
        <v>1</v>
      </c>
      <c r="E104">
        <v>9.6</v>
      </c>
      <c r="F104">
        <v>9</v>
      </c>
      <c r="G104">
        <v>4</v>
      </c>
      <c r="H104">
        <f t="shared" si="3"/>
        <v>24</v>
      </c>
      <c r="I104">
        <v>2</v>
      </c>
      <c r="J104">
        <v>1</v>
      </c>
      <c r="K104">
        <v>0.98</v>
      </c>
      <c r="L104">
        <v>0.12</v>
      </c>
      <c r="M104">
        <f>Tableau1[[#This Row],[Cl2free (mgCl2/L)]]/Tableau1[[#This Row],[Cl2 injected (mgCl2/L)]]</f>
        <v>1.2500000000000001E-2</v>
      </c>
      <c r="N104">
        <v>0.17</v>
      </c>
      <c r="O104">
        <f>Tableau1[[#This Row],[Cl2total (mgCl2/L)]]/Tableau1[[#This Row],[Cl2 injected (mgCl2/L)]]</f>
        <v>1.7708333333333336E-2</v>
      </c>
      <c r="P104">
        <v>8.42</v>
      </c>
      <c r="Q104">
        <v>124.1823445949066</v>
      </c>
      <c r="R104">
        <v>51.617906550758569</v>
      </c>
      <c r="S104">
        <f>Tableau1[[#This Row],[dioxane (microgram/L)]]/Tableau1[[#This Row],[Dioxane C0]]</f>
        <v>0.41566219996200415</v>
      </c>
      <c r="T104">
        <v>83.754718470172364</v>
      </c>
      <c r="U104">
        <v>53.014725685330909</v>
      </c>
      <c r="V104">
        <f>Tableau1[[#This Row],[sucralose (microgram/L]]/Tableau1[[#This Row],[sucralose C0 (microgram/L)]]</f>
        <v>0.63297598814341527</v>
      </c>
      <c r="W104">
        <v>61.168037497513417</v>
      </c>
      <c r="Y104">
        <v>0</v>
      </c>
      <c r="AB104" t="e">
        <f>Tableau1[[#This Row],[Carbamazepine (microgram/L)]]/Tableau1[[#This Row],[Carbamazepine C0 (microgram/L)]]</f>
        <v>#DIV/0!</v>
      </c>
    </row>
    <row r="105" spans="1:28" hidden="1" x14ac:dyDescent="0.25">
      <c r="A105" t="s">
        <v>45</v>
      </c>
      <c r="B105" t="s">
        <v>53</v>
      </c>
      <c r="C105">
        <v>1</v>
      </c>
      <c r="D105">
        <v>1</v>
      </c>
      <c r="E105">
        <v>4</v>
      </c>
      <c r="G105">
        <v>0</v>
      </c>
      <c r="H105">
        <v>1</v>
      </c>
      <c r="J105">
        <v>1</v>
      </c>
      <c r="K105">
        <v>1.1599999999999999</v>
      </c>
      <c r="L105">
        <v>0.03</v>
      </c>
      <c r="M105">
        <v>7.4999999999999997E-3</v>
      </c>
      <c r="N105">
        <v>2.58</v>
      </c>
      <c r="O105">
        <v>0.62</v>
      </c>
      <c r="P105">
        <v>7.23</v>
      </c>
      <c r="Q105">
        <v>94.63</v>
      </c>
      <c r="R105" s="2">
        <v>94.63</v>
      </c>
      <c r="S105">
        <v>1</v>
      </c>
      <c r="T105" s="2">
        <v>139.63</v>
      </c>
      <c r="U105" s="2">
        <v>139.63</v>
      </c>
      <c r="V105">
        <v>1</v>
      </c>
      <c r="Z105">
        <v>132.75</v>
      </c>
      <c r="AA105">
        <v>132.75</v>
      </c>
      <c r="AB105">
        <v>1</v>
      </c>
    </row>
    <row r="106" spans="1:28" hidden="1" x14ac:dyDescent="0.25">
      <c r="A106" t="s">
        <v>45</v>
      </c>
      <c r="B106" t="s">
        <v>53</v>
      </c>
      <c r="C106">
        <v>1</v>
      </c>
      <c r="D106">
        <v>1</v>
      </c>
      <c r="E106">
        <v>4</v>
      </c>
      <c r="G106">
        <v>0</v>
      </c>
      <c r="H106">
        <v>20</v>
      </c>
      <c r="J106">
        <v>1</v>
      </c>
      <c r="K106">
        <v>1.1599999999999999</v>
      </c>
      <c r="L106">
        <v>0.03</v>
      </c>
      <c r="M106">
        <f>Tableau1[[#This Row],[Cl2free (mgCl2/L)]]/Tableau1[[#This Row],[Cl2 injected (mgCl2/L)]]</f>
        <v>7.4999999999999997E-3</v>
      </c>
      <c r="N106">
        <v>2.48</v>
      </c>
      <c r="O106">
        <f>Tableau1[[#This Row],[Cl2total (mgCl2/L)]]/Tableau1[[#This Row],[Cl2 injected (mgCl2/L)]]</f>
        <v>0.62</v>
      </c>
      <c r="P106">
        <v>7.29</v>
      </c>
      <c r="Q106">
        <v>94.63</v>
      </c>
      <c r="R106" s="2">
        <v>96.22</v>
      </c>
      <c r="S106">
        <f>Tableau1[[#This Row],[dioxane (microgram/L)]]/Tableau1[[#This Row],[Dioxane C0]]</f>
        <v>1.0168022825742364</v>
      </c>
      <c r="T106" s="2">
        <v>139.63</v>
      </c>
      <c r="U106" s="2">
        <v>147.9</v>
      </c>
      <c r="V106">
        <f>Tableau1[[#This Row],[sucralose (microgram/L]]/Tableau1[[#This Row],[sucralose C0 (microgram/L)]]</f>
        <v>1.0592279596075342</v>
      </c>
      <c r="Z106">
        <v>132.75</v>
      </c>
      <c r="AA106">
        <v>134.84</v>
      </c>
      <c r="AB106">
        <f>Tableau1[[#This Row],[Carbamazepine (microgram/L)]]/Tableau1[[#This Row],[Carbamazepine C0 (microgram/L)]]</f>
        <v>1.015743879472693</v>
      </c>
    </row>
    <row r="107" spans="1:28" hidden="1" x14ac:dyDescent="0.25">
      <c r="A107" t="s">
        <v>46</v>
      </c>
      <c r="B107" t="s">
        <v>53</v>
      </c>
      <c r="C107">
        <v>1</v>
      </c>
      <c r="D107">
        <v>1</v>
      </c>
      <c r="E107">
        <v>4</v>
      </c>
      <c r="G107">
        <v>1</v>
      </c>
      <c r="H107">
        <v>21</v>
      </c>
      <c r="J107">
        <v>1</v>
      </c>
      <c r="K107">
        <v>1.1599999999999999</v>
      </c>
      <c r="L107">
        <v>0.01</v>
      </c>
      <c r="M107">
        <f>Tableau1[[#This Row],[Cl2free (mgCl2/L)]]/Tableau1[[#This Row],[Cl2 injected (mgCl2/L)]]</f>
        <v>2.5000000000000001E-3</v>
      </c>
      <c r="N107">
        <v>2.06</v>
      </c>
      <c r="O107">
        <f>Tableau1[[#This Row],[Cl2total (mgCl2/L)]]/Tableau1[[#This Row],[Cl2 injected (mgCl2/L)]]</f>
        <v>0.51500000000000001</v>
      </c>
      <c r="P107">
        <v>7.21</v>
      </c>
      <c r="Q107">
        <v>94.63</v>
      </c>
      <c r="R107" s="2">
        <v>86.55</v>
      </c>
      <c r="S107">
        <f>Tableau1[[#This Row],[dioxane (microgram/L)]]/Tableau1[[#This Row],[Dioxane C0]]</f>
        <v>0.91461481559759061</v>
      </c>
      <c r="T107" s="2">
        <v>139.63</v>
      </c>
      <c r="U107" s="2">
        <v>129.13999999999999</v>
      </c>
      <c r="V107">
        <f>Tableau1[[#This Row],[sucralose (microgram/L]]/Tableau1[[#This Row],[sucralose C0 (microgram/L)]]</f>
        <v>0.92487287832127762</v>
      </c>
      <c r="Z107">
        <v>132.75</v>
      </c>
      <c r="AA107">
        <v>125.53</v>
      </c>
      <c r="AB107">
        <f>Tableau1[[#This Row],[Carbamazepine (microgram/L)]]/Tableau1[[#This Row],[Carbamazepine C0 (microgram/L)]]</f>
        <v>0.94561205273069682</v>
      </c>
    </row>
    <row r="108" spans="1:28" hidden="1" x14ac:dyDescent="0.25">
      <c r="A108" t="s">
        <v>46</v>
      </c>
      <c r="B108" t="s">
        <v>53</v>
      </c>
      <c r="C108">
        <v>1</v>
      </c>
      <c r="D108">
        <v>1</v>
      </c>
      <c r="E108">
        <v>4</v>
      </c>
      <c r="G108">
        <v>2</v>
      </c>
      <c r="H108">
        <v>22</v>
      </c>
      <c r="J108">
        <v>1</v>
      </c>
      <c r="K108">
        <v>1.1599999999999999</v>
      </c>
      <c r="L108">
        <v>0.01</v>
      </c>
      <c r="M108">
        <f>Tableau1[[#This Row],[Cl2free (mgCl2/L)]]/Tableau1[[#This Row],[Cl2 injected (mgCl2/L)]]</f>
        <v>2.5000000000000001E-3</v>
      </c>
      <c r="N108">
        <v>1.65</v>
      </c>
      <c r="O108">
        <f>Tableau1[[#This Row],[Cl2total (mgCl2/L)]]/Tableau1[[#This Row],[Cl2 injected (mgCl2/L)]]</f>
        <v>0.41249999999999998</v>
      </c>
      <c r="P108">
        <v>7.26</v>
      </c>
      <c r="Q108">
        <v>94.63</v>
      </c>
      <c r="R108" s="2">
        <v>91.91</v>
      </c>
      <c r="S108">
        <f>Tableau1[[#This Row],[dioxane (microgram/L)]]/Tableau1[[#This Row],[Dioxane C0]]</f>
        <v>0.97125647257740677</v>
      </c>
      <c r="T108" s="2">
        <v>139.63</v>
      </c>
      <c r="U108" s="2">
        <v>136.83000000000001</v>
      </c>
      <c r="V108">
        <f>Tableau1[[#This Row],[sucralose (microgram/L]]/Tableau1[[#This Row],[sucralose C0 (microgram/L)]]</f>
        <v>0.97994700279309621</v>
      </c>
      <c r="Z108">
        <v>132.75</v>
      </c>
      <c r="AA108">
        <v>118.27</v>
      </c>
      <c r="AB108">
        <f>Tableau1[[#This Row],[Carbamazepine (microgram/L)]]/Tableau1[[#This Row],[Carbamazepine C0 (microgram/L)]]</f>
        <v>0.89092278719397355</v>
      </c>
    </row>
    <row r="109" spans="1:28" hidden="1" x14ac:dyDescent="0.25">
      <c r="A109" t="s">
        <v>46</v>
      </c>
      <c r="B109" t="s">
        <v>53</v>
      </c>
      <c r="C109">
        <v>1</v>
      </c>
      <c r="D109">
        <v>1</v>
      </c>
      <c r="E109">
        <v>4</v>
      </c>
      <c r="G109">
        <v>3</v>
      </c>
      <c r="H109">
        <v>23</v>
      </c>
      <c r="J109">
        <v>1</v>
      </c>
      <c r="K109">
        <v>1.1599999999999999</v>
      </c>
      <c r="L109">
        <v>0.02</v>
      </c>
      <c r="M109">
        <f>Tableau1[[#This Row],[Cl2free (mgCl2/L)]]/Tableau1[[#This Row],[Cl2 injected (mgCl2/L)]]</f>
        <v>5.0000000000000001E-3</v>
      </c>
      <c r="N109">
        <v>1.37</v>
      </c>
      <c r="O109">
        <f>Tableau1[[#This Row],[Cl2total (mgCl2/L)]]/Tableau1[[#This Row],[Cl2 injected (mgCl2/L)]]</f>
        <v>0.34250000000000003</v>
      </c>
      <c r="P109">
        <v>7.29</v>
      </c>
      <c r="Q109">
        <v>94.63</v>
      </c>
      <c r="R109" s="2">
        <v>90.31</v>
      </c>
      <c r="S109">
        <f>Tableau1[[#This Row],[dioxane (microgram/L)]]/Tableau1[[#This Row],[Dioxane C0]]</f>
        <v>0.95434851526999898</v>
      </c>
      <c r="T109" s="2">
        <v>139.63</v>
      </c>
      <c r="U109" s="2">
        <v>127.21</v>
      </c>
      <c r="V109">
        <f>Tableau1[[#This Row],[sucralose (microgram/L]]/Tableau1[[#This Row],[sucralose C0 (microgram/L)]]</f>
        <v>0.91105063381794738</v>
      </c>
      <c r="Z109">
        <v>132.75</v>
      </c>
      <c r="AA109">
        <v>111.5</v>
      </c>
      <c r="AB109">
        <f>Tableau1[[#This Row],[Carbamazepine (microgram/L)]]/Tableau1[[#This Row],[Carbamazepine C0 (microgram/L)]]</f>
        <v>0.839924670433145</v>
      </c>
    </row>
    <row r="110" spans="1:28" hidden="1" x14ac:dyDescent="0.25">
      <c r="A110" t="s">
        <v>46</v>
      </c>
      <c r="B110" t="s">
        <v>53</v>
      </c>
      <c r="C110">
        <v>1</v>
      </c>
      <c r="D110">
        <v>1</v>
      </c>
      <c r="E110">
        <v>4</v>
      </c>
      <c r="G110">
        <v>4</v>
      </c>
      <c r="H110">
        <v>24</v>
      </c>
      <c r="J110">
        <v>1</v>
      </c>
      <c r="K110">
        <v>1.1599999999999999</v>
      </c>
      <c r="L110">
        <v>0.02</v>
      </c>
      <c r="M110">
        <f>Tableau1[[#This Row],[Cl2free (mgCl2/L)]]/Tableau1[[#This Row],[Cl2 injected (mgCl2/L)]]</f>
        <v>5.0000000000000001E-3</v>
      </c>
      <c r="N110">
        <v>1.1499999999999999</v>
      </c>
      <c r="O110">
        <f>Tableau1[[#This Row],[Cl2total (mgCl2/L)]]/Tableau1[[#This Row],[Cl2 injected (mgCl2/L)]]</f>
        <v>0.28749999999999998</v>
      </c>
      <c r="P110">
        <v>7.28</v>
      </c>
      <c r="Q110">
        <v>94.63</v>
      </c>
      <c r="R110" s="2">
        <v>95.69</v>
      </c>
      <c r="S110">
        <f>Tableau1[[#This Row],[dioxane (microgram/L)]]/Tableau1[[#This Row],[Dioxane C0]]</f>
        <v>1.0112015217161576</v>
      </c>
      <c r="T110" s="2">
        <v>139.63</v>
      </c>
      <c r="U110" s="2">
        <v>126.51</v>
      </c>
      <c r="V110">
        <f>Tableau1[[#This Row],[sucralose (microgram/L]]/Tableau1[[#This Row],[sucralose C0 (microgram/L)]]</f>
        <v>0.90603738451622151</v>
      </c>
      <c r="Z110">
        <v>132.75</v>
      </c>
      <c r="AA110">
        <v>107.27</v>
      </c>
      <c r="AB110">
        <f>Tableau1[[#This Row],[Carbamazepine (microgram/L)]]/Tableau1[[#This Row],[Carbamazepine C0 (microgram/L)]]</f>
        <v>0.80806026365348393</v>
      </c>
    </row>
    <row r="111" spans="1:28" hidden="1" x14ac:dyDescent="0.25">
      <c r="A111" t="s">
        <v>46</v>
      </c>
      <c r="B111" t="s">
        <v>53</v>
      </c>
      <c r="C111">
        <v>1</v>
      </c>
      <c r="D111">
        <v>2</v>
      </c>
      <c r="E111">
        <v>4</v>
      </c>
      <c r="G111">
        <v>0</v>
      </c>
      <c r="H111">
        <v>1</v>
      </c>
      <c r="J111">
        <v>1</v>
      </c>
      <c r="K111">
        <v>1.1599999999999999</v>
      </c>
      <c r="L111">
        <v>0.03</v>
      </c>
      <c r="M111">
        <v>7.4999999999999997E-3</v>
      </c>
      <c r="N111">
        <v>2.58</v>
      </c>
      <c r="O111">
        <v>0.62</v>
      </c>
      <c r="P111">
        <v>7.23</v>
      </c>
      <c r="Q111" s="2">
        <v>94.82</v>
      </c>
      <c r="R111" s="2">
        <v>94.82</v>
      </c>
      <c r="S111">
        <v>1</v>
      </c>
      <c r="T111" s="2">
        <v>126.76</v>
      </c>
      <c r="U111" s="2">
        <v>126.76</v>
      </c>
      <c r="V111">
        <v>1</v>
      </c>
      <c r="Z111">
        <v>130.31</v>
      </c>
      <c r="AA111">
        <v>130.31</v>
      </c>
      <c r="AB111">
        <v>1</v>
      </c>
    </row>
    <row r="112" spans="1:28" hidden="1" x14ac:dyDescent="0.25">
      <c r="A112" t="s">
        <v>46</v>
      </c>
      <c r="B112" t="s">
        <v>53</v>
      </c>
      <c r="C112">
        <v>1</v>
      </c>
      <c r="D112">
        <v>2</v>
      </c>
      <c r="E112">
        <v>4</v>
      </c>
      <c r="G112">
        <v>0</v>
      </c>
      <c r="H112">
        <v>20</v>
      </c>
      <c r="J112">
        <v>1</v>
      </c>
      <c r="K112">
        <v>1.1599999999999999</v>
      </c>
      <c r="L112">
        <v>0.03</v>
      </c>
      <c r="M112">
        <f>Tableau1[[#This Row],[Cl2free (mgCl2/L)]]/Tableau1[[#This Row],[Cl2 injected (mgCl2/L)]]</f>
        <v>7.4999999999999997E-3</v>
      </c>
      <c r="N112">
        <v>2.48</v>
      </c>
      <c r="O112">
        <f>Tableau1[[#This Row],[Cl2total (mgCl2/L)]]/Tableau1[[#This Row],[Cl2 injected (mgCl2/L)]]</f>
        <v>0.62</v>
      </c>
      <c r="P112">
        <v>7.29</v>
      </c>
      <c r="Q112" s="2">
        <v>94.82</v>
      </c>
      <c r="R112" s="2">
        <v>97.47</v>
      </c>
      <c r="S112">
        <f>Tableau1[[#This Row],[dioxane (microgram/L)]]/Tableau1[[#This Row],[Dioxane C0]]</f>
        <v>1.0279476903606835</v>
      </c>
      <c r="T112" s="2">
        <v>126.76</v>
      </c>
      <c r="U112" s="2">
        <v>145.66999999999999</v>
      </c>
      <c r="V112">
        <f>Tableau1[[#This Row],[sucralose (microgram/L]]/Tableau1[[#This Row],[sucralose C0 (microgram/L)]]</f>
        <v>1.1491795519091195</v>
      </c>
      <c r="Z112">
        <v>130.31</v>
      </c>
      <c r="AA112">
        <v>128.96</v>
      </c>
      <c r="AB112">
        <f>Tableau1[[#This Row],[Carbamazepine (microgram/L)]]/Tableau1[[#This Row],[Carbamazepine C0 (microgram/L)]]</f>
        <v>0.98964008901849443</v>
      </c>
    </row>
    <row r="113" spans="1:28" hidden="1" x14ac:dyDescent="0.25">
      <c r="A113" t="s">
        <v>46</v>
      </c>
      <c r="B113" t="s">
        <v>53</v>
      </c>
      <c r="C113">
        <v>1</v>
      </c>
      <c r="D113">
        <v>2</v>
      </c>
      <c r="E113">
        <v>4</v>
      </c>
      <c r="G113">
        <v>1</v>
      </c>
      <c r="H113">
        <v>21</v>
      </c>
      <c r="J113">
        <v>1</v>
      </c>
      <c r="K113">
        <v>1.1599999999999999</v>
      </c>
      <c r="L113">
        <v>0.01</v>
      </c>
      <c r="M113">
        <f>Tableau1[[#This Row],[Cl2free (mgCl2/L)]]/Tableau1[[#This Row],[Cl2 injected (mgCl2/L)]]</f>
        <v>2.5000000000000001E-3</v>
      </c>
      <c r="N113">
        <v>2.06</v>
      </c>
      <c r="O113">
        <f>Tableau1[[#This Row],[Cl2total (mgCl2/L)]]/Tableau1[[#This Row],[Cl2 injected (mgCl2/L)]]</f>
        <v>0.51500000000000001</v>
      </c>
      <c r="P113">
        <v>7.21</v>
      </c>
      <c r="Q113" s="2">
        <v>94.82</v>
      </c>
      <c r="R113" s="2">
        <v>97.12</v>
      </c>
      <c r="S113">
        <f>Tableau1[[#This Row],[dioxane (microgram/L)]]/Tableau1[[#This Row],[Dioxane C0]]</f>
        <v>1.0242564859734236</v>
      </c>
      <c r="T113" s="2">
        <v>126.76</v>
      </c>
      <c r="U113" s="2">
        <v>131.91999999999999</v>
      </c>
      <c r="V113">
        <f>Tableau1[[#This Row],[sucralose (microgram/L]]/Tableau1[[#This Row],[sucralose C0 (microgram/L)]]</f>
        <v>1.0407068475859891</v>
      </c>
      <c r="Z113">
        <v>130.31</v>
      </c>
      <c r="AA113">
        <v>120.7</v>
      </c>
      <c r="AB113">
        <f>Tableau1[[#This Row],[Carbamazepine (microgram/L)]]/Tableau1[[#This Row],[Carbamazepine C0 (microgram/L)]]</f>
        <v>0.92625278182794879</v>
      </c>
    </row>
    <row r="114" spans="1:28" hidden="1" x14ac:dyDescent="0.25">
      <c r="A114" t="s">
        <v>46</v>
      </c>
      <c r="B114" t="s">
        <v>53</v>
      </c>
      <c r="C114">
        <v>1</v>
      </c>
      <c r="D114">
        <v>2</v>
      </c>
      <c r="E114">
        <v>4</v>
      </c>
      <c r="G114">
        <v>2</v>
      </c>
      <c r="H114">
        <v>22</v>
      </c>
      <c r="J114">
        <v>1</v>
      </c>
      <c r="K114">
        <v>1.1599999999999999</v>
      </c>
      <c r="L114">
        <v>0.01</v>
      </c>
      <c r="M114">
        <f>Tableau1[[#This Row],[Cl2free (mgCl2/L)]]/Tableau1[[#This Row],[Cl2 injected (mgCl2/L)]]</f>
        <v>2.5000000000000001E-3</v>
      </c>
      <c r="N114">
        <v>1.65</v>
      </c>
      <c r="O114">
        <f>Tableau1[[#This Row],[Cl2total (mgCl2/L)]]/Tableau1[[#This Row],[Cl2 injected (mgCl2/L)]]</f>
        <v>0.41249999999999998</v>
      </c>
      <c r="P114">
        <v>7.26</v>
      </c>
      <c r="Q114" s="2">
        <v>94.82</v>
      </c>
      <c r="R114" s="2">
        <v>95.25</v>
      </c>
      <c r="S114">
        <f>Tableau1[[#This Row],[dioxane (microgram/L)]]/Tableau1[[#This Row],[Dioxane C0]]</f>
        <v>1.0045349082472053</v>
      </c>
      <c r="T114" s="2">
        <v>126.76</v>
      </c>
      <c r="U114" s="2">
        <v>135.22</v>
      </c>
      <c r="V114">
        <f>Tableau1[[#This Row],[sucralose (microgram/L]]/Tableau1[[#This Row],[sucralose C0 (microgram/L)]]</f>
        <v>1.0667402966235404</v>
      </c>
      <c r="Z114">
        <v>130.31</v>
      </c>
      <c r="AA114">
        <v>113.2</v>
      </c>
      <c r="AB114">
        <f>Tableau1[[#This Row],[Carbamazepine (microgram/L)]]/Tableau1[[#This Row],[Carbamazepine C0 (microgram/L)]]</f>
        <v>0.86869772081958407</v>
      </c>
    </row>
    <row r="115" spans="1:28" hidden="1" x14ac:dyDescent="0.25">
      <c r="A115" t="s">
        <v>46</v>
      </c>
      <c r="B115" t="s">
        <v>53</v>
      </c>
      <c r="C115">
        <v>1</v>
      </c>
      <c r="D115">
        <v>2</v>
      </c>
      <c r="E115">
        <v>4</v>
      </c>
      <c r="G115">
        <v>3</v>
      </c>
      <c r="H115">
        <v>23</v>
      </c>
      <c r="J115">
        <v>1</v>
      </c>
      <c r="K115">
        <v>1.1599999999999999</v>
      </c>
      <c r="L115">
        <v>0.02</v>
      </c>
      <c r="M115">
        <f>Tableau1[[#This Row],[Cl2free (mgCl2/L)]]/Tableau1[[#This Row],[Cl2 injected (mgCl2/L)]]</f>
        <v>5.0000000000000001E-3</v>
      </c>
      <c r="N115">
        <v>1.37</v>
      </c>
      <c r="O115">
        <f>Tableau1[[#This Row],[Cl2total (mgCl2/L)]]/Tableau1[[#This Row],[Cl2 injected (mgCl2/L)]]</f>
        <v>0.34250000000000003</v>
      </c>
      <c r="P115">
        <v>7.29</v>
      </c>
      <c r="Q115" s="2">
        <v>94.82</v>
      </c>
      <c r="R115" s="2">
        <v>88.52</v>
      </c>
      <c r="S115">
        <f>Tableau1[[#This Row],[dioxane (microgram/L)]]/Tableau1[[#This Row],[Dioxane C0]]</f>
        <v>0.93355832102931868</v>
      </c>
      <c r="T115" s="2">
        <v>126.76</v>
      </c>
      <c r="U115" s="2">
        <v>123.72</v>
      </c>
      <c r="V115">
        <f>Tableau1[[#This Row],[sucralose (microgram/L]]/Tableau1[[#This Row],[sucralose C0 (microgram/L)]]</f>
        <v>0.97601767118964966</v>
      </c>
      <c r="Z115">
        <v>130.31</v>
      </c>
      <c r="AA115">
        <v>111.52</v>
      </c>
      <c r="AB115">
        <f>Tableau1[[#This Row],[Carbamazepine (microgram/L)]]/Tableau1[[#This Row],[Carbamazepine C0 (microgram/L)]]</f>
        <v>0.85580538715371035</v>
      </c>
    </row>
    <row r="116" spans="1:28" hidden="1" x14ac:dyDescent="0.25">
      <c r="A116" t="s">
        <v>46</v>
      </c>
      <c r="B116" t="s">
        <v>53</v>
      </c>
      <c r="C116">
        <v>1</v>
      </c>
      <c r="D116">
        <v>2</v>
      </c>
      <c r="E116">
        <v>4</v>
      </c>
      <c r="G116">
        <v>4</v>
      </c>
      <c r="H116">
        <v>24</v>
      </c>
      <c r="J116">
        <v>1</v>
      </c>
      <c r="K116">
        <v>1.1599999999999999</v>
      </c>
      <c r="L116">
        <v>0.02</v>
      </c>
      <c r="M116">
        <f>Tableau1[[#This Row],[Cl2free (mgCl2/L)]]/Tableau1[[#This Row],[Cl2 injected (mgCl2/L)]]</f>
        <v>5.0000000000000001E-3</v>
      </c>
      <c r="N116">
        <v>1.1499999999999999</v>
      </c>
      <c r="O116">
        <f>Tableau1[[#This Row],[Cl2total (mgCl2/L)]]/Tableau1[[#This Row],[Cl2 injected (mgCl2/L)]]</f>
        <v>0.28749999999999998</v>
      </c>
      <c r="P116">
        <v>7.28</v>
      </c>
      <c r="Q116" s="2">
        <v>94.82</v>
      </c>
      <c r="R116" s="2">
        <v>83.51</v>
      </c>
      <c r="S116">
        <f>Tableau1[[#This Row],[dioxane (microgram/L)]]/Tableau1[[#This Row],[Dioxane C0]]</f>
        <v>0.88072136680025326</v>
      </c>
      <c r="T116" s="2">
        <v>126.76</v>
      </c>
      <c r="U116" s="2">
        <v>123.44</v>
      </c>
      <c r="V116">
        <f>Tableau1[[#This Row],[sucralose (microgram/L]]/Tableau1[[#This Row],[sucralose C0 (microgram/L)]]</f>
        <v>0.97380877248343323</v>
      </c>
      <c r="Z116">
        <v>130.31</v>
      </c>
      <c r="AA116">
        <v>104.82</v>
      </c>
      <c r="AB116">
        <f>Tableau1[[#This Row],[Carbamazepine (microgram/L)]]/Tableau1[[#This Row],[Carbamazepine C0 (microgram/L)]]</f>
        <v>0.80438953265290458</v>
      </c>
    </row>
    <row r="117" spans="1:28" hidden="1" x14ac:dyDescent="0.25">
      <c r="A117" t="s">
        <v>47</v>
      </c>
      <c r="B117" t="s">
        <v>53</v>
      </c>
      <c r="C117">
        <v>1</v>
      </c>
      <c r="D117">
        <v>1</v>
      </c>
      <c r="E117">
        <v>8</v>
      </c>
      <c r="G117">
        <v>0</v>
      </c>
      <c r="H117">
        <v>1</v>
      </c>
      <c r="J117">
        <v>1</v>
      </c>
      <c r="K117">
        <v>1.18</v>
      </c>
      <c r="L117">
        <v>0.03</v>
      </c>
      <c r="M117">
        <f>Tableau1[[#This Row],[Cl2free (mgCl2/L)]]/Tableau1[[#This Row],[Cl2 injected (mgCl2/L)]]</f>
        <v>3.7499999999999999E-3</v>
      </c>
      <c r="N117">
        <v>4.84</v>
      </c>
      <c r="O117">
        <f>Tableau1[[#This Row],[Cl2total (mgCl2/L)]]/Tableau1[[#This Row],[Cl2 injected (mgCl2/L)]]</f>
        <v>0.60499999999999998</v>
      </c>
      <c r="P117">
        <v>7.26</v>
      </c>
      <c r="Q117">
        <v>90.43</v>
      </c>
      <c r="R117">
        <v>90.43</v>
      </c>
      <c r="S117">
        <f>Tableau1[[#This Row],[dioxane (microgram/L)]]/Tableau1[[#This Row],[Dioxane C0]]</f>
        <v>1</v>
      </c>
      <c r="T117">
        <v>126.58</v>
      </c>
      <c r="U117">
        <v>126.58</v>
      </c>
      <c r="V117">
        <f>Tableau1[[#This Row],[sucralose (microgram/L]]/Tableau1[[#This Row],[sucralose C0 (microgram/L)]]</f>
        <v>1</v>
      </c>
      <c r="Z117">
        <v>129.21</v>
      </c>
      <c r="AA117">
        <v>129.21</v>
      </c>
      <c r="AB117">
        <f>Tableau1[[#This Row],[Carbamazepine (microgram/L)]]/Tableau1[[#This Row],[Carbamazepine C0 (microgram/L)]]</f>
        <v>1</v>
      </c>
    </row>
    <row r="118" spans="1:28" hidden="1" x14ac:dyDescent="0.25">
      <c r="A118" t="s">
        <v>47</v>
      </c>
      <c r="B118" t="s">
        <v>53</v>
      </c>
      <c r="C118">
        <v>1</v>
      </c>
      <c r="D118">
        <v>1</v>
      </c>
      <c r="E118">
        <v>8</v>
      </c>
      <c r="G118">
        <v>0</v>
      </c>
      <c r="H118">
        <v>20</v>
      </c>
      <c r="J118">
        <v>1</v>
      </c>
      <c r="K118">
        <v>1.18</v>
      </c>
      <c r="L118">
        <v>0.03</v>
      </c>
      <c r="M118">
        <f>Tableau1[[#This Row],[Cl2free (mgCl2/L)]]/Tableau1[[#This Row],[Cl2 injected (mgCl2/L)]]</f>
        <v>3.7499999999999999E-3</v>
      </c>
      <c r="N118">
        <v>4.84</v>
      </c>
      <c r="O118">
        <f>Tableau1[[#This Row],[Cl2total (mgCl2/L)]]/Tableau1[[#This Row],[Cl2 injected (mgCl2/L)]]</f>
        <v>0.60499999999999998</v>
      </c>
      <c r="P118">
        <v>7.26</v>
      </c>
      <c r="Q118">
        <v>90.43</v>
      </c>
      <c r="R118">
        <v>88.28</v>
      </c>
      <c r="S118">
        <f>Tableau1[[#This Row],[dioxane (microgram/L)]]/Tableau1[[#This Row],[Dioxane C0]]</f>
        <v>0.97622470419108698</v>
      </c>
      <c r="T118">
        <v>126.58</v>
      </c>
      <c r="U118">
        <v>136.5</v>
      </c>
      <c r="V118">
        <f>Tableau1[[#This Row],[sucralose (microgram/L]]/Tableau1[[#This Row],[sucralose C0 (microgram/L)]]</f>
        <v>1.0783694106493917</v>
      </c>
      <c r="Z118">
        <v>129.21</v>
      </c>
      <c r="AA118">
        <v>130.29</v>
      </c>
      <c r="AB118">
        <f>Tableau1[[#This Row],[Carbamazepine (microgram/L)]]/Tableau1[[#This Row],[Carbamazepine C0 (microgram/L)]]</f>
        <v>1.0083584861852797</v>
      </c>
    </row>
    <row r="119" spans="1:28" hidden="1" x14ac:dyDescent="0.25">
      <c r="A119" t="s">
        <v>47</v>
      </c>
      <c r="B119" t="s">
        <v>53</v>
      </c>
      <c r="C119">
        <v>1</v>
      </c>
      <c r="D119">
        <v>1</v>
      </c>
      <c r="E119">
        <v>8</v>
      </c>
      <c r="G119">
        <v>1</v>
      </c>
      <c r="H119">
        <v>21</v>
      </c>
      <c r="J119">
        <v>1</v>
      </c>
      <c r="K119">
        <v>1.18</v>
      </c>
      <c r="L119">
        <v>0.02</v>
      </c>
      <c r="M119">
        <f>Tableau1[[#This Row],[Cl2free (mgCl2/L)]]/Tableau1[[#This Row],[Cl2 injected (mgCl2/L)]]</f>
        <v>2.5000000000000001E-3</v>
      </c>
      <c r="N119">
        <v>4.12</v>
      </c>
      <c r="O119">
        <f>Tableau1[[#This Row],[Cl2total (mgCl2/L)]]/Tableau1[[#This Row],[Cl2 injected (mgCl2/L)]]</f>
        <v>0.51500000000000001</v>
      </c>
      <c r="P119">
        <v>7.22</v>
      </c>
      <c r="Q119">
        <v>90.43</v>
      </c>
      <c r="R119">
        <v>88.3</v>
      </c>
      <c r="S119">
        <f>Tableau1[[#This Row],[dioxane (microgram/L)]]/Tableau1[[#This Row],[Dioxane C0]]</f>
        <v>0.97644586973349545</v>
      </c>
      <c r="T119">
        <v>126.58</v>
      </c>
      <c r="U119">
        <v>126.58</v>
      </c>
      <c r="V119">
        <f>Tableau1[[#This Row],[sucralose (microgram/L]]/Tableau1[[#This Row],[sucralose C0 (microgram/L)]]</f>
        <v>1</v>
      </c>
      <c r="Z119">
        <v>129.21</v>
      </c>
      <c r="AA119">
        <v>114.14</v>
      </c>
      <c r="AB119">
        <f>Tableau1[[#This Row],[Carbamazepine (microgram/L)]]/Tableau1[[#This Row],[Carbamazepine C0 (microgram/L)]]</f>
        <v>0.88336816035910526</v>
      </c>
    </row>
    <row r="120" spans="1:28" hidden="1" x14ac:dyDescent="0.25">
      <c r="A120" t="s">
        <v>47</v>
      </c>
      <c r="B120" t="s">
        <v>53</v>
      </c>
      <c r="C120">
        <v>1</v>
      </c>
      <c r="D120">
        <v>1</v>
      </c>
      <c r="E120">
        <v>8</v>
      </c>
      <c r="G120">
        <v>2</v>
      </c>
      <c r="H120">
        <v>22</v>
      </c>
      <c r="J120">
        <v>1</v>
      </c>
      <c r="K120">
        <v>1.18</v>
      </c>
      <c r="L120">
        <v>0.01</v>
      </c>
      <c r="M120">
        <f>Tableau1[[#This Row],[Cl2free (mgCl2/L)]]/Tableau1[[#This Row],[Cl2 injected (mgCl2/L)]]</f>
        <v>1.25E-3</v>
      </c>
      <c r="N120">
        <v>3.44</v>
      </c>
      <c r="O120">
        <f>Tableau1[[#This Row],[Cl2total (mgCl2/L)]]/Tableau1[[#This Row],[Cl2 injected (mgCl2/L)]]</f>
        <v>0.43</v>
      </c>
      <c r="P120">
        <v>7.15</v>
      </c>
      <c r="Q120">
        <v>90.43</v>
      </c>
      <c r="R120">
        <v>85.67</v>
      </c>
      <c r="S120">
        <f>Tableau1[[#This Row],[dioxane (microgram/L)]]/Tableau1[[#This Row],[Dioxane C0]]</f>
        <v>0.94736260090677871</v>
      </c>
      <c r="T120">
        <v>126.58</v>
      </c>
      <c r="U120">
        <v>135.51</v>
      </c>
      <c r="V120">
        <f>Tableau1[[#This Row],[sucralose (microgram/L]]/Tableau1[[#This Row],[sucralose C0 (microgram/L)]]</f>
        <v>1.0705482698688575</v>
      </c>
      <c r="Z120">
        <v>129.21</v>
      </c>
      <c r="AA120">
        <v>99.82</v>
      </c>
      <c r="AB120">
        <f>Tableau1[[#This Row],[Carbamazepine (microgram/L)]]/Tableau1[[#This Row],[Carbamazepine C0 (microgram/L)]]</f>
        <v>0.77254082501354371</v>
      </c>
    </row>
    <row r="121" spans="1:28" hidden="1" x14ac:dyDescent="0.25">
      <c r="A121" t="s">
        <v>47</v>
      </c>
      <c r="B121" t="s">
        <v>53</v>
      </c>
      <c r="C121">
        <v>1</v>
      </c>
      <c r="D121">
        <v>1</v>
      </c>
      <c r="E121">
        <v>8</v>
      </c>
      <c r="G121">
        <v>3</v>
      </c>
      <c r="H121">
        <v>23</v>
      </c>
      <c r="J121">
        <v>1</v>
      </c>
      <c r="K121">
        <v>1.18</v>
      </c>
      <c r="L121">
        <v>0</v>
      </c>
      <c r="M121">
        <f>Tableau1[[#This Row],[Cl2free (mgCl2/L)]]/Tableau1[[#This Row],[Cl2 injected (mgCl2/L)]]</f>
        <v>0</v>
      </c>
      <c r="N121">
        <v>2.94</v>
      </c>
      <c r="O121">
        <f>Tableau1[[#This Row],[Cl2total (mgCl2/L)]]/Tableau1[[#This Row],[Cl2 injected (mgCl2/L)]]</f>
        <v>0.36749999999999999</v>
      </c>
      <c r="P121">
        <v>7.17</v>
      </c>
      <c r="Q121">
        <v>90.43</v>
      </c>
      <c r="R121">
        <v>82.57</v>
      </c>
      <c r="S121">
        <f>Tableau1[[#This Row],[dioxane (microgram/L)]]/Tableau1[[#This Row],[Dioxane C0]]</f>
        <v>0.91308194183346225</v>
      </c>
      <c r="T121">
        <v>126.58</v>
      </c>
      <c r="U121">
        <v>136.97999999999999</v>
      </c>
      <c r="V121">
        <f>Tableau1[[#This Row],[sucralose (microgram/L]]/Tableau1[[#This Row],[sucralose C0 (microgram/L)]]</f>
        <v>1.0821614789066203</v>
      </c>
      <c r="Z121">
        <v>129.21</v>
      </c>
      <c r="AA121">
        <v>100.12</v>
      </c>
      <c r="AB121">
        <f>Tableau1[[#This Row],[Carbamazepine (microgram/L)]]/Tableau1[[#This Row],[Carbamazepine C0 (microgram/L)]]</f>
        <v>0.77486262673167705</v>
      </c>
    </row>
    <row r="122" spans="1:28" hidden="1" x14ac:dyDescent="0.25">
      <c r="A122" t="s">
        <v>47</v>
      </c>
      <c r="B122" t="s">
        <v>53</v>
      </c>
      <c r="C122">
        <v>1</v>
      </c>
      <c r="D122">
        <v>1</v>
      </c>
      <c r="E122">
        <v>8</v>
      </c>
      <c r="G122">
        <v>4</v>
      </c>
      <c r="H122">
        <v>24</v>
      </c>
      <c r="J122">
        <v>1</v>
      </c>
      <c r="K122">
        <v>1.18</v>
      </c>
      <c r="L122">
        <v>0</v>
      </c>
      <c r="M122">
        <f>Tableau1[[#This Row],[Cl2free (mgCl2/L)]]/Tableau1[[#This Row],[Cl2 injected (mgCl2/L)]]</f>
        <v>0</v>
      </c>
      <c r="N122">
        <v>2.5</v>
      </c>
      <c r="O122">
        <f>Tableau1[[#This Row],[Cl2total (mgCl2/L)]]/Tableau1[[#This Row],[Cl2 injected (mgCl2/L)]]</f>
        <v>0.3125</v>
      </c>
      <c r="P122">
        <v>7.12</v>
      </c>
      <c r="Q122">
        <v>90.43</v>
      </c>
      <c r="R122">
        <v>81.67</v>
      </c>
      <c r="S122">
        <f>Tableau1[[#This Row],[dioxane (microgram/L)]]/Tableau1[[#This Row],[Dioxane C0]]</f>
        <v>0.90312949242508012</v>
      </c>
      <c r="T122">
        <v>126.58</v>
      </c>
      <c r="U122">
        <v>137.88</v>
      </c>
      <c r="V122">
        <f>Tableau1[[#This Row],[sucralose (microgram/L]]/Tableau1[[#This Row],[sucralose C0 (microgram/L)]]</f>
        <v>1.0892716068889239</v>
      </c>
      <c r="Z122">
        <v>129.21</v>
      </c>
      <c r="AA122">
        <v>91.26</v>
      </c>
      <c r="AB122">
        <f>Tableau1[[#This Row],[Carbamazepine (microgram/L)]]/Tableau1[[#This Row],[Carbamazepine C0 (microgram/L)]]</f>
        <v>0.70629208265614118</v>
      </c>
    </row>
    <row r="123" spans="1:28" hidden="1" x14ac:dyDescent="0.25">
      <c r="A123" t="s">
        <v>47</v>
      </c>
      <c r="B123" t="s">
        <v>53</v>
      </c>
      <c r="C123">
        <v>1</v>
      </c>
      <c r="D123">
        <v>2</v>
      </c>
      <c r="E123">
        <v>8</v>
      </c>
      <c r="G123">
        <v>0</v>
      </c>
      <c r="H123">
        <v>1</v>
      </c>
      <c r="J123">
        <v>1</v>
      </c>
      <c r="K123">
        <v>1.18</v>
      </c>
      <c r="L123">
        <v>0.03</v>
      </c>
      <c r="M123">
        <f>Tableau1[[#This Row],[Cl2free (mgCl2/L)]]/Tableau1[[#This Row],[Cl2 injected (mgCl2/L)]]</f>
        <v>3.7499999999999999E-3</v>
      </c>
      <c r="N123">
        <v>4.84</v>
      </c>
      <c r="O123">
        <f>Tableau1[[#This Row],[Cl2total (mgCl2/L)]]/Tableau1[[#This Row],[Cl2 injected (mgCl2/L)]]</f>
        <v>0.60499999999999998</v>
      </c>
      <c r="P123">
        <v>7.26</v>
      </c>
      <c r="Q123">
        <v>92.37</v>
      </c>
      <c r="R123">
        <v>92.37</v>
      </c>
      <c r="S123">
        <f>Tableau1[[#This Row],[dioxane (microgram/L)]]/Tableau1[[#This Row],[Dioxane C0]]</f>
        <v>1</v>
      </c>
      <c r="T123">
        <v>127.46</v>
      </c>
      <c r="U123">
        <v>127.46</v>
      </c>
      <c r="V123">
        <f>Tableau1[[#This Row],[sucralose (microgram/L]]/Tableau1[[#This Row],[sucralose C0 (microgram/L)]]</f>
        <v>1</v>
      </c>
      <c r="Z123">
        <v>121.97</v>
      </c>
      <c r="AA123">
        <v>121.97</v>
      </c>
      <c r="AB123">
        <f>Tableau1[[#This Row],[Carbamazepine (microgram/L)]]/Tableau1[[#This Row],[Carbamazepine C0 (microgram/L)]]</f>
        <v>1</v>
      </c>
    </row>
    <row r="124" spans="1:28" hidden="1" x14ac:dyDescent="0.25">
      <c r="A124" t="s">
        <v>47</v>
      </c>
      <c r="B124" t="s">
        <v>53</v>
      </c>
      <c r="C124">
        <v>1</v>
      </c>
      <c r="D124">
        <v>2</v>
      </c>
      <c r="E124">
        <v>8</v>
      </c>
      <c r="G124">
        <v>0</v>
      </c>
      <c r="H124">
        <v>20</v>
      </c>
      <c r="J124">
        <v>1</v>
      </c>
      <c r="K124">
        <v>1.18</v>
      </c>
      <c r="L124">
        <v>0.03</v>
      </c>
      <c r="M124">
        <f>Tableau1[[#This Row],[Cl2free (mgCl2/L)]]/Tableau1[[#This Row],[Cl2 injected (mgCl2/L)]]</f>
        <v>3.7499999999999999E-3</v>
      </c>
      <c r="N124">
        <v>4.84</v>
      </c>
      <c r="O124">
        <f>Tableau1[[#This Row],[Cl2total (mgCl2/L)]]/Tableau1[[#This Row],[Cl2 injected (mgCl2/L)]]</f>
        <v>0.60499999999999998</v>
      </c>
      <c r="P124">
        <v>7.26</v>
      </c>
      <c r="Q124">
        <v>92.37</v>
      </c>
      <c r="R124">
        <v>91.7</v>
      </c>
      <c r="S124">
        <f>Tableau1[[#This Row],[dioxane (microgram/L)]]/Tableau1[[#This Row],[Dioxane C0]]</f>
        <v>0.99274656273681927</v>
      </c>
      <c r="T124">
        <v>127.46</v>
      </c>
      <c r="U124">
        <v>144.44</v>
      </c>
      <c r="V124">
        <f>Tableau1[[#This Row],[sucralose (microgram/L]]/Tableau1[[#This Row],[sucralose C0 (microgram/L)]]</f>
        <v>1.1332182645535855</v>
      </c>
      <c r="Z124">
        <v>121.97</v>
      </c>
      <c r="AA124">
        <v>124.34</v>
      </c>
      <c r="AB124">
        <f>Tableau1[[#This Row],[Carbamazepine (microgram/L)]]/Tableau1[[#This Row],[Carbamazepine C0 (microgram/L)]]</f>
        <v>1.0194310076248259</v>
      </c>
    </row>
    <row r="125" spans="1:28" hidden="1" x14ac:dyDescent="0.25">
      <c r="A125" t="s">
        <v>47</v>
      </c>
      <c r="B125" t="s">
        <v>53</v>
      </c>
      <c r="C125">
        <v>1</v>
      </c>
      <c r="D125">
        <v>2</v>
      </c>
      <c r="E125">
        <v>8</v>
      </c>
      <c r="G125">
        <v>1</v>
      </c>
      <c r="H125">
        <v>21</v>
      </c>
      <c r="J125">
        <v>1</v>
      </c>
      <c r="K125">
        <v>1.18</v>
      </c>
      <c r="L125">
        <v>0.02</v>
      </c>
      <c r="M125">
        <f>Tableau1[[#This Row],[Cl2free (mgCl2/L)]]/Tableau1[[#This Row],[Cl2 injected (mgCl2/L)]]</f>
        <v>2.5000000000000001E-3</v>
      </c>
      <c r="N125">
        <v>4.12</v>
      </c>
      <c r="O125">
        <f>Tableau1[[#This Row],[Cl2total (mgCl2/L)]]/Tableau1[[#This Row],[Cl2 injected (mgCl2/L)]]</f>
        <v>0.51500000000000001</v>
      </c>
      <c r="P125">
        <v>7.22</v>
      </c>
      <c r="Q125">
        <v>92.37</v>
      </c>
      <c r="R125">
        <v>91.44</v>
      </c>
      <c r="S125">
        <f>Tableau1[[#This Row],[dioxane (microgram/L)]]/Tableau1[[#This Row],[Dioxane C0]]</f>
        <v>0.98993179603767445</v>
      </c>
      <c r="T125">
        <v>127.46</v>
      </c>
      <c r="U125">
        <v>132.81</v>
      </c>
      <c r="V125">
        <f>Tableau1[[#This Row],[sucralose (microgram/L]]/Tableau1[[#This Row],[sucralose C0 (microgram/L)]]</f>
        <v>1.0419739526125844</v>
      </c>
      <c r="Z125">
        <v>121.97</v>
      </c>
      <c r="AA125">
        <v>110.6</v>
      </c>
      <c r="AB125">
        <f>Tableau1[[#This Row],[Carbamazepine (microgram/L)]]/Tableau1[[#This Row],[Carbamazepine C0 (microgram/L)]]</f>
        <v>0.90678035582520289</v>
      </c>
    </row>
    <row r="126" spans="1:28" hidden="1" x14ac:dyDescent="0.25">
      <c r="A126" t="s">
        <v>47</v>
      </c>
      <c r="B126" t="s">
        <v>53</v>
      </c>
      <c r="C126">
        <v>1</v>
      </c>
      <c r="D126">
        <v>2</v>
      </c>
      <c r="E126">
        <v>8</v>
      </c>
      <c r="G126">
        <v>2</v>
      </c>
      <c r="H126">
        <v>22</v>
      </c>
      <c r="J126">
        <v>1</v>
      </c>
      <c r="K126">
        <v>1.18</v>
      </c>
      <c r="L126">
        <v>0.01</v>
      </c>
      <c r="M126">
        <f>Tableau1[[#This Row],[Cl2free (mgCl2/L)]]/Tableau1[[#This Row],[Cl2 injected (mgCl2/L)]]</f>
        <v>1.25E-3</v>
      </c>
      <c r="N126">
        <v>3.44</v>
      </c>
      <c r="O126">
        <f>Tableau1[[#This Row],[Cl2total (mgCl2/L)]]/Tableau1[[#This Row],[Cl2 injected (mgCl2/L)]]</f>
        <v>0.43</v>
      </c>
      <c r="P126">
        <v>7.15</v>
      </c>
      <c r="Q126">
        <v>92.37</v>
      </c>
      <c r="R126">
        <v>86.82</v>
      </c>
      <c r="S126">
        <f>Tableau1[[#This Row],[dioxane (microgram/L)]]/Tableau1[[#This Row],[Dioxane C0]]</f>
        <v>0.93991555699902551</v>
      </c>
      <c r="T126">
        <v>127.46</v>
      </c>
      <c r="U126">
        <v>128.13</v>
      </c>
      <c r="V126">
        <f>Tableau1[[#This Row],[sucralose (microgram/L]]/Tableau1[[#This Row],[sucralose C0 (microgram/L)]]</f>
        <v>1.005256551074847</v>
      </c>
      <c r="Z126">
        <v>121.97</v>
      </c>
      <c r="AA126">
        <v>100.62</v>
      </c>
      <c r="AB126">
        <f>Tableau1[[#This Row],[Carbamazepine (microgram/L)]]/Tableau1[[#This Row],[Carbamazepine C0 (microgram/L)]]</f>
        <v>0.82495695662867918</v>
      </c>
    </row>
    <row r="127" spans="1:28" hidden="1" x14ac:dyDescent="0.25">
      <c r="A127" t="s">
        <v>47</v>
      </c>
      <c r="B127" t="s">
        <v>53</v>
      </c>
      <c r="C127">
        <v>1</v>
      </c>
      <c r="D127">
        <v>2</v>
      </c>
      <c r="E127">
        <v>8</v>
      </c>
      <c r="G127">
        <v>3</v>
      </c>
      <c r="H127">
        <v>23</v>
      </c>
      <c r="J127">
        <v>1</v>
      </c>
      <c r="K127">
        <v>1.18</v>
      </c>
      <c r="L127">
        <v>0</v>
      </c>
      <c r="M127">
        <f>Tableau1[[#This Row],[Cl2free (mgCl2/L)]]/Tableau1[[#This Row],[Cl2 injected (mgCl2/L)]]</f>
        <v>0</v>
      </c>
      <c r="N127">
        <v>2.94</v>
      </c>
      <c r="O127">
        <f>Tableau1[[#This Row],[Cl2total (mgCl2/L)]]/Tableau1[[#This Row],[Cl2 injected (mgCl2/L)]]</f>
        <v>0.36749999999999999</v>
      </c>
      <c r="P127">
        <v>7.17</v>
      </c>
      <c r="Q127">
        <v>92.37</v>
      </c>
      <c r="R127">
        <v>83.48</v>
      </c>
      <c r="S127">
        <f>Tableau1[[#This Row],[dioxane (microgram/L)]]/Tableau1[[#This Row],[Dioxane C0]]</f>
        <v>0.90375663094078162</v>
      </c>
      <c r="T127">
        <v>127.46</v>
      </c>
      <c r="U127">
        <v>149.82</v>
      </c>
      <c r="V127">
        <f>Tableau1[[#This Row],[sucralose (microgram/L]]/Tableau1[[#This Row],[sucralose C0 (microgram/L)]]</f>
        <v>1.1754275851247451</v>
      </c>
      <c r="Z127">
        <v>121.97</v>
      </c>
      <c r="AA127">
        <v>92.62</v>
      </c>
      <c r="AB127">
        <f>Tableau1[[#This Row],[Carbamazepine (microgram/L)]]/Tableau1[[#This Row],[Carbamazepine C0 (microgram/L)]]</f>
        <v>0.75936705747314914</v>
      </c>
    </row>
    <row r="128" spans="1:28" hidden="1" x14ac:dyDescent="0.25">
      <c r="A128" t="s">
        <v>47</v>
      </c>
      <c r="B128" t="s">
        <v>53</v>
      </c>
      <c r="C128">
        <v>1</v>
      </c>
      <c r="D128">
        <v>2</v>
      </c>
      <c r="E128">
        <v>8</v>
      </c>
      <c r="G128">
        <v>4</v>
      </c>
      <c r="H128">
        <v>24</v>
      </c>
      <c r="J128">
        <v>1</v>
      </c>
      <c r="K128">
        <v>1.18</v>
      </c>
      <c r="L128">
        <v>0</v>
      </c>
      <c r="M128">
        <f>Tableau1[[#This Row],[Cl2free (mgCl2/L)]]/Tableau1[[#This Row],[Cl2 injected (mgCl2/L)]]</f>
        <v>0</v>
      </c>
      <c r="N128">
        <v>2.5</v>
      </c>
      <c r="O128">
        <f>Tableau1[[#This Row],[Cl2total (mgCl2/L)]]/Tableau1[[#This Row],[Cl2 injected (mgCl2/L)]]</f>
        <v>0.3125</v>
      </c>
      <c r="P128">
        <v>7.12</v>
      </c>
      <c r="Q128">
        <v>92.37</v>
      </c>
      <c r="R128">
        <v>79.72</v>
      </c>
      <c r="S128">
        <f>Tableau1[[#This Row],[dioxane (microgram/L)]]/Tableau1[[#This Row],[Dioxane C0]]</f>
        <v>0.86305077406084219</v>
      </c>
      <c r="T128">
        <v>127.46</v>
      </c>
      <c r="U128">
        <v>123.45</v>
      </c>
      <c r="V128">
        <f>Tableau1[[#This Row],[sucralose (microgram/L]]/Tableau1[[#This Row],[sucralose C0 (microgram/L)]]</f>
        <v>0.96853914953710973</v>
      </c>
      <c r="Z128">
        <v>121.97</v>
      </c>
      <c r="AA128">
        <v>88.77</v>
      </c>
      <c r="AB128">
        <f>Tableau1[[#This Row],[Carbamazepine (microgram/L)]]/Tableau1[[#This Row],[Carbamazepine C0 (microgram/L)]]</f>
        <v>0.72780191850455023</v>
      </c>
    </row>
    <row r="129" spans="1:28" hidden="1" x14ac:dyDescent="0.25">
      <c r="A129" t="s">
        <v>48</v>
      </c>
      <c r="B129" t="s">
        <v>53</v>
      </c>
      <c r="C129">
        <v>1</v>
      </c>
      <c r="D129">
        <v>1</v>
      </c>
      <c r="E129">
        <v>14</v>
      </c>
      <c r="G129">
        <v>0</v>
      </c>
      <c r="H129">
        <v>1</v>
      </c>
      <c r="J129">
        <v>1</v>
      </c>
      <c r="K129">
        <v>1.03</v>
      </c>
      <c r="L129">
        <v>0.88</v>
      </c>
      <c r="M129">
        <f>Tableau1[[#This Row],[Cl2free (mgCl2/L)]]/Tableau1[[#This Row],[Cl2 injected (mgCl2/L)]]</f>
        <v>6.2857142857142861E-2</v>
      </c>
      <c r="N129">
        <v>2.96</v>
      </c>
      <c r="O129">
        <f>Tableau1[[#This Row],[Cl2total (mgCl2/L)]]/Tableau1[[#This Row],[Cl2 injected (mgCl2/L)]]</f>
        <v>0.21142857142857144</v>
      </c>
      <c r="P129">
        <v>7.13</v>
      </c>
      <c r="Q129">
        <v>89</v>
      </c>
      <c r="R129">
        <v>89</v>
      </c>
      <c r="S129">
        <f>Tableau1[[#This Row],[dioxane (microgram/L)]]/Tableau1[[#This Row],[Dioxane C0]]</f>
        <v>1</v>
      </c>
      <c r="T129">
        <v>144.91999999999999</v>
      </c>
      <c r="U129">
        <v>144.91999999999999</v>
      </c>
      <c r="V129">
        <f>Tableau1[[#This Row],[sucralose (microgram/L]]/Tableau1[[#This Row],[sucralose C0 (microgram/L)]]</f>
        <v>1</v>
      </c>
      <c r="Z129" s="2">
        <v>95.05</v>
      </c>
      <c r="AA129" s="2">
        <v>95.05</v>
      </c>
      <c r="AB129">
        <f>Tableau1[[#This Row],[Carbamazepine (microgram/L)]]/Tableau1[[#This Row],[Carbamazepine C0 (microgram/L)]]</f>
        <v>1</v>
      </c>
    </row>
    <row r="130" spans="1:28" hidden="1" x14ac:dyDescent="0.25">
      <c r="A130" t="s">
        <v>48</v>
      </c>
      <c r="B130" t="s">
        <v>53</v>
      </c>
      <c r="C130">
        <v>1</v>
      </c>
      <c r="D130">
        <v>1</v>
      </c>
      <c r="E130">
        <v>14</v>
      </c>
      <c r="G130">
        <v>0</v>
      </c>
      <c r="H130">
        <v>20</v>
      </c>
      <c r="J130">
        <v>1</v>
      </c>
      <c r="K130">
        <v>1.03</v>
      </c>
      <c r="L130">
        <v>0.88</v>
      </c>
      <c r="M130">
        <f>Tableau1[[#This Row],[Cl2free (mgCl2/L)]]/Tableau1[[#This Row],[Cl2 injected (mgCl2/L)]]</f>
        <v>6.2857142857142861E-2</v>
      </c>
      <c r="N130">
        <v>2.96</v>
      </c>
      <c r="O130">
        <f>Tableau1[[#This Row],[Cl2total (mgCl2/L)]]/Tableau1[[#This Row],[Cl2 injected (mgCl2/L)]]</f>
        <v>0.21142857142857144</v>
      </c>
      <c r="P130">
        <v>7.13</v>
      </c>
      <c r="Q130">
        <v>89</v>
      </c>
      <c r="R130">
        <v>89.2</v>
      </c>
      <c r="S130">
        <f>Tableau1[[#This Row],[dioxane (microgram/L)]]/Tableau1[[#This Row],[Dioxane C0]]</f>
        <v>1.002247191011236</v>
      </c>
      <c r="T130">
        <v>144.91999999999999</v>
      </c>
      <c r="U130">
        <v>124.36</v>
      </c>
      <c r="V130">
        <f>Tableau1[[#This Row],[sucralose (microgram/L]]/Tableau1[[#This Row],[sucralose C0 (microgram/L)]]</f>
        <v>0.85812862268837986</v>
      </c>
      <c r="Z130" s="2">
        <v>95.05</v>
      </c>
      <c r="AA130" s="2">
        <v>81.93</v>
      </c>
      <c r="AB130">
        <f>Tableau1[[#This Row],[Carbamazepine (microgram/L)]]/Tableau1[[#This Row],[Carbamazepine C0 (microgram/L)]]</f>
        <v>0.86196738558653352</v>
      </c>
    </row>
    <row r="131" spans="1:28" hidden="1" x14ac:dyDescent="0.25">
      <c r="A131" t="s">
        <v>48</v>
      </c>
      <c r="B131" t="s">
        <v>53</v>
      </c>
      <c r="C131">
        <v>1</v>
      </c>
      <c r="D131">
        <v>1</v>
      </c>
      <c r="E131">
        <v>14</v>
      </c>
      <c r="G131">
        <v>1</v>
      </c>
      <c r="H131">
        <v>21</v>
      </c>
      <c r="J131">
        <v>1</v>
      </c>
      <c r="K131">
        <v>1.03</v>
      </c>
      <c r="L131">
        <v>0.1</v>
      </c>
      <c r="M131">
        <f>Tableau1[[#This Row],[Cl2free (mgCl2/L)]]/Tableau1[[#This Row],[Cl2 injected (mgCl2/L)]]</f>
        <v>7.1428571428571435E-3</v>
      </c>
      <c r="N131">
        <v>1.58</v>
      </c>
      <c r="O131">
        <f>Tableau1[[#This Row],[Cl2total (mgCl2/L)]]/Tableau1[[#This Row],[Cl2 injected (mgCl2/L)]]</f>
        <v>0.11285714285714286</v>
      </c>
      <c r="P131">
        <v>7.05</v>
      </c>
      <c r="Q131">
        <v>89</v>
      </c>
      <c r="R131">
        <v>82.52</v>
      </c>
      <c r="S131">
        <f>Tableau1[[#This Row],[dioxane (microgram/L)]]/Tableau1[[#This Row],[Dioxane C0]]</f>
        <v>0.92719101123595504</v>
      </c>
      <c r="T131">
        <v>144.91999999999999</v>
      </c>
      <c r="U131">
        <v>112.38</v>
      </c>
      <c r="V131">
        <f>Tableau1[[#This Row],[sucralose (microgram/L]]/Tableau1[[#This Row],[sucralose C0 (microgram/L)]]</f>
        <v>0.77546232404085014</v>
      </c>
      <c r="Z131" s="2">
        <v>95.05</v>
      </c>
      <c r="AA131" s="2">
        <v>63.15</v>
      </c>
      <c r="AB131">
        <f>Tableau1[[#This Row],[Carbamazepine (microgram/L)]]/Tableau1[[#This Row],[Carbamazepine C0 (microgram/L)]]</f>
        <v>0.6643871646501841</v>
      </c>
    </row>
    <row r="132" spans="1:28" hidden="1" x14ac:dyDescent="0.25">
      <c r="A132" t="s">
        <v>48</v>
      </c>
      <c r="B132" t="s">
        <v>53</v>
      </c>
      <c r="C132">
        <v>1</v>
      </c>
      <c r="D132">
        <v>1</v>
      </c>
      <c r="E132">
        <v>14</v>
      </c>
      <c r="G132">
        <v>2</v>
      </c>
      <c r="H132">
        <v>22</v>
      </c>
      <c r="J132">
        <v>1</v>
      </c>
      <c r="K132">
        <v>1.03</v>
      </c>
      <c r="L132">
        <v>0.03</v>
      </c>
      <c r="M132">
        <f>Tableau1[[#This Row],[Cl2free (mgCl2/L)]]/Tableau1[[#This Row],[Cl2 injected (mgCl2/L)]]</f>
        <v>2.142857142857143E-3</v>
      </c>
      <c r="N132">
        <v>0.84</v>
      </c>
      <c r="O132">
        <f>Tableau1[[#This Row],[Cl2total (mgCl2/L)]]/Tableau1[[#This Row],[Cl2 injected (mgCl2/L)]]</f>
        <v>0.06</v>
      </c>
      <c r="P132">
        <v>7.07</v>
      </c>
      <c r="Q132">
        <v>89</v>
      </c>
      <c r="R132">
        <v>78.290000000000006</v>
      </c>
      <c r="S132">
        <f>Tableau1[[#This Row],[dioxane (microgram/L)]]/Tableau1[[#This Row],[Dioxane C0]]</f>
        <v>0.8796629213483147</v>
      </c>
      <c r="T132">
        <v>144.91999999999999</v>
      </c>
      <c r="U132">
        <v>122.76</v>
      </c>
      <c r="V132">
        <f>Tableau1[[#This Row],[sucralose (microgram/L]]/Tableau1[[#This Row],[sucralose C0 (microgram/L)]]</f>
        <v>0.84708804857852615</v>
      </c>
      <c r="Z132" s="2">
        <v>95.05</v>
      </c>
      <c r="AA132" s="2">
        <v>55.2</v>
      </c>
      <c r="AB132">
        <f>Tableau1[[#This Row],[Carbamazepine (microgram/L)]]/Tableau1[[#This Row],[Carbamazepine C0 (microgram/L)]]</f>
        <v>0.58074697527617047</v>
      </c>
    </row>
    <row r="133" spans="1:28" hidden="1" x14ac:dyDescent="0.25">
      <c r="A133" t="s">
        <v>48</v>
      </c>
      <c r="B133" t="s">
        <v>53</v>
      </c>
      <c r="C133">
        <v>1</v>
      </c>
      <c r="D133">
        <v>1</v>
      </c>
      <c r="E133">
        <v>14</v>
      </c>
      <c r="G133">
        <v>3</v>
      </c>
      <c r="H133">
        <v>23</v>
      </c>
      <c r="J133">
        <v>1</v>
      </c>
      <c r="K133">
        <v>1.03</v>
      </c>
      <c r="L133">
        <v>0.03</v>
      </c>
      <c r="M133">
        <f>Tableau1[[#This Row],[Cl2free (mgCl2/L)]]/Tableau1[[#This Row],[Cl2 injected (mgCl2/L)]]</f>
        <v>2.142857142857143E-3</v>
      </c>
      <c r="N133">
        <v>0.57999999999999996</v>
      </c>
      <c r="O133">
        <f>Tableau1[[#This Row],[Cl2total (mgCl2/L)]]/Tableau1[[#This Row],[Cl2 injected (mgCl2/L)]]</f>
        <v>4.1428571428571426E-2</v>
      </c>
      <c r="P133">
        <v>7.03</v>
      </c>
      <c r="Q133">
        <v>89</v>
      </c>
      <c r="R133">
        <v>76.91</v>
      </c>
      <c r="S133">
        <f>Tableau1[[#This Row],[dioxane (microgram/L)]]/Tableau1[[#This Row],[Dioxane C0]]</f>
        <v>0.86415730337078644</v>
      </c>
      <c r="T133">
        <v>144.91999999999999</v>
      </c>
      <c r="U133">
        <v>122.84</v>
      </c>
      <c r="V133">
        <f>Tableau1[[#This Row],[sucralose (microgram/L]]/Tableau1[[#This Row],[sucralose C0 (microgram/L)]]</f>
        <v>0.84764007728401891</v>
      </c>
      <c r="Z133" s="2">
        <v>95.05</v>
      </c>
      <c r="AA133" s="2">
        <v>53.19</v>
      </c>
      <c r="AB133">
        <f>Tableau1[[#This Row],[Carbamazepine (microgram/L)]]/Tableau1[[#This Row],[Carbamazepine C0 (microgram/L)]]</f>
        <v>0.55960021041557073</v>
      </c>
    </row>
    <row r="134" spans="1:28" hidden="1" x14ac:dyDescent="0.25">
      <c r="A134" t="s">
        <v>48</v>
      </c>
      <c r="B134" t="s">
        <v>53</v>
      </c>
      <c r="C134">
        <v>1</v>
      </c>
      <c r="D134">
        <v>1</v>
      </c>
      <c r="E134">
        <v>14</v>
      </c>
      <c r="G134">
        <v>4</v>
      </c>
      <c r="H134">
        <v>24</v>
      </c>
      <c r="J134">
        <v>1</v>
      </c>
      <c r="K134">
        <v>1.03</v>
      </c>
      <c r="L134">
        <v>0.03</v>
      </c>
      <c r="M134">
        <f>Tableau1[[#This Row],[Cl2free (mgCl2/L)]]/Tableau1[[#This Row],[Cl2 injected (mgCl2/L)]]</f>
        <v>2.142857142857143E-3</v>
      </c>
      <c r="N134">
        <v>0.42</v>
      </c>
      <c r="O134">
        <f>Tableau1[[#This Row],[Cl2total (mgCl2/L)]]/Tableau1[[#This Row],[Cl2 injected (mgCl2/L)]]</f>
        <v>0.03</v>
      </c>
      <c r="P134">
        <v>7.14</v>
      </c>
      <c r="Q134">
        <v>89</v>
      </c>
      <c r="R134">
        <v>73.28</v>
      </c>
      <c r="S134">
        <f>Tableau1[[#This Row],[dioxane (microgram/L)]]/Tableau1[[#This Row],[Dioxane C0]]</f>
        <v>0.82337078651685391</v>
      </c>
      <c r="T134">
        <v>144.91999999999999</v>
      </c>
      <c r="U134">
        <v>118.52</v>
      </c>
      <c r="V134">
        <f>Tableau1[[#This Row],[sucralose (microgram/L]]/Tableau1[[#This Row],[sucralose C0 (microgram/L)]]</f>
        <v>0.81783052718741378</v>
      </c>
      <c r="Z134" s="2">
        <v>95.05</v>
      </c>
      <c r="AA134" s="2">
        <v>46.53</v>
      </c>
      <c r="AB134">
        <f>Tableau1[[#This Row],[Carbamazepine (microgram/L)]]/Tableau1[[#This Row],[Carbamazepine C0 (microgram/L)]]</f>
        <v>0.48953182535507628</v>
      </c>
    </row>
    <row r="135" spans="1:28" hidden="1" x14ac:dyDescent="0.25">
      <c r="A135" t="s">
        <v>48</v>
      </c>
      <c r="B135" t="s">
        <v>53</v>
      </c>
      <c r="C135">
        <v>1</v>
      </c>
      <c r="D135">
        <v>2</v>
      </c>
      <c r="E135">
        <v>14</v>
      </c>
      <c r="G135">
        <v>0</v>
      </c>
      <c r="H135">
        <v>1</v>
      </c>
      <c r="J135">
        <v>1</v>
      </c>
      <c r="K135">
        <v>1.03</v>
      </c>
      <c r="L135">
        <v>0.88</v>
      </c>
      <c r="M135">
        <f>Tableau1[[#This Row],[Cl2free (mgCl2/L)]]/Tableau1[[#This Row],[Cl2 injected (mgCl2/L)]]</f>
        <v>6.2857142857142861E-2</v>
      </c>
      <c r="N135">
        <v>2.96</v>
      </c>
      <c r="O135">
        <f>Tableau1[[#This Row],[Cl2total (mgCl2/L)]]/Tableau1[[#This Row],[Cl2 injected (mgCl2/L)]]</f>
        <v>0.21142857142857144</v>
      </c>
      <c r="P135">
        <v>7.13</v>
      </c>
      <c r="Q135">
        <v>84.5</v>
      </c>
      <c r="R135">
        <v>84.5</v>
      </c>
      <c r="S135">
        <f>Tableau1[[#This Row],[dioxane (microgram/L)]]/Tableau1[[#This Row],[Dioxane C0]]</f>
        <v>1</v>
      </c>
      <c r="T135">
        <v>134.19</v>
      </c>
      <c r="U135">
        <v>134.19</v>
      </c>
      <c r="V135">
        <f>Tableau1[[#This Row],[sucralose (microgram/L]]/Tableau1[[#This Row],[sucralose C0 (microgram/L)]]</f>
        <v>1</v>
      </c>
      <c r="Z135" s="2">
        <v>91.29</v>
      </c>
      <c r="AA135" s="2">
        <v>91.29</v>
      </c>
      <c r="AB135">
        <f>Tableau1[[#This Row],[Carbamazepine (microgram/L)]]/Tableau1[[#This Row],[Carbamazepine C0 (microgram/L)]]</f>
        <v>1</v>
      </c>
    </row>
    <row r="136" spans="1:28" hidden="1" x14ac:dyDescent="0.25">
      <c r="A136" t="s">
        <v>48</v>
      </c>
      <c r="B136" t="s">
        <v>53</v>
      </c>
      <c r="C136">
        <v>1</v>
      </c>
      <c r="D136">
        <v>2</v>
      </c>
      <c r="E136">
        <v>14</v>
      </c>
      <c r="G136">
        <v>0</v>
      </c>
      <c r="H136">
        <v>20</v>
      </c>
      <c r="J136">
        <v>1</v>
      </c>
      <c r="K136">
        <v>1.03</v>
      </c>
      <c r="L136">
        <v>0.88</v>
      </c>
      <c r="M136">
        <f>Tableau1[[#This Row],[Cl2free (mgCl2/L)]]/Tableau1[[#This Row],[Cl2 injected (mgCl2/L)]]</f>
        <v>6.2857142857142861E-2</v>
      </c>
      <c r="N136">
        <v>2.96</v>
      </c>
      <c r="O136">
        <f>Tableau1[[#This Row],[Cl2total (mgCl2/L)]]/Tableau1[[#This Row],[Cl2 injected (mgCl2/L)]]</f>
        <v>0.21142857142857144</v>
      </c>
      <c r="P136">
        <v>7.13</v>
      </c>
      <c r="Q136">
        <v>84.5</v>
      </c>
      <c r="R136">
        <v>84.81</v>
      </c>
      <c r="S136">
        <f>Tableau1[[#This Row],[dioxane (microgram/L)]]/Tableau1[[#This Row],[Dioxane C0]]</f>
        <v>1.0036686390532545</v>
      </c>
      <c r="T136">
        <v>134.19</v>
      </c>
      <c r="U136">
        <v>125.3</v>
      </c>
      <c r="V136">
        <f>Tableau1[[#This Row],[sucralose (microgram/L]]/Tableau1[[#This Row],[sucralose C0 (microgram/L)]]</f>
        <v>0.93375065206051122</v>
      </c>
      <c r="Z136" s="2">
        <v>91.29</v>
      </c>
      <c r="AA136">
        <v>78.03</v>
      </c>
      <c r="AB136">
        <f>Tableau1[[#This Row],[Carbamazepine (microgram/L)]]/Tableau1[[#This Row],[Carbamazepine C0 (microgram/L)]]</f>
        <v>0.85474860335195524</v>
      </c>
    </row>
    <row r="137" spans="1:28" hidden="1" x14ac:dyDescent="0.25">
      <c r="A137" t="s">
        <v>48</v>
      </c>
      <c r="B137" t="s">
        <v>53</v>
      </c>
      <c r="C137">
        <v>1</v>
      </c>
      <c r="D137">
        <v>2</v>
      </c>
      <c r="E137">
        <v>14</v>
      </c>
      <c r="G137">
        <v>1</v>
      </c>
      <c r="H137">
        <v>21</v>
      </c>
      <c r="J137">
        <v>1</v>
      </c>
      <c r="K137">
        <v>1.03</v>
      </c>
      <c r="L137">
        <v>0.1</v>
      </c>
      <c r="M137">
        <f>Tableau1[[#This Row],[Cl2free (mgCl2/L)]]/Tableau1[[#This Row],[Cl2 injected (mgCl2/L)]]</f>
        <v>7.1428571428571435E-3</v>
      </c>
      <c r="N137">
        <v>1.58</v>
      </c>
      <c r="O137">
        <f>Tableau1[[#This Row],[Cl2total (mgCl2/L)]]/Tableau1[[#This Row],[Cl2 injected (mgCl2/L)]]</f>
        <v>0.11285714285714286</v>
      </c>
      <c r="P137">
        <v>7.05</v>
      </c>
      <c r="Q137">
        <v>84.5</v>
      </c>
      <c r="R137">
        <v>84.21</v>
      </c>
      <c r="S137">
        <f>Tableau1[[#This Row],[dioxane (microgram/L)]]/Tableau1[[#This Row],[Dioxane C0]]</f>
        <v>0.996568047337278</v>
      </c>
      <c r="T137">
        <v>134.19</v>
      </c>
      <c r="U137">
        <v>116.13</v>
      </c>
      <c r="V137">
        <f>Tableau1[[#This Row],[sucralose (microgram/L]]/Tableau1[[#This Row],[sucralose C0 (microgram/L)]]</f>
        <v>0.86541471048513297</v>
      </c>
      <c r="Z137" s="2">
        <v>91.29</v>
      </c>
      <c r="AA137">
        <v>62.61</v>
      </c>
      <c r="AB137">
        <f>Tableau1[[#This Row],[Carbamazepine (microgram/L)]]/Tableau1[[#This Row],[Carbamazepine C0 (microgram/L)]]</f>
        <v>0.6858363457114689</v>
      </c>
    </row>
    <row r="138" spans="1:28" hidden="1" x14ac:dyDescent="0.25">
      <c r="A138" t="s">
        <v>48</v>
      </c>
      <c r="B138" t="s">
        <v>53</v>
      </c>
      <c r="C138">
        <v>1</v>
      </c>
      <c r="D138">
        <v>2</v>
      </c>
      <c r="E138">
        <v>14</v>
      </c>
      <c r="G138">
        <v>2</v>
      </c>
      <c r="H138">
        <v>22</v>
      </c>
      <c r="J138">
        <v>1</v>
      </c>
      <c r="K138">
        <v>1.03</v>
      </c>
      <c r="L138">
        <v>0.03</v>
      </c>
      <c r="M138">
        <f>Tableau1[[#This Row],[Cl2free (mgCl2/L)]]/Tableau1[[#This Row],[Cl2 injected (mgCl2/L)]]</f>
        <v>2.142857142857143E-3</v>
      </c>
      <c r="N138">
        <v>0.84</v>
      </c>
      <c r="O138">
        <f>Tableau1[[#This Row],[Cl2total (mgCl2/L)]]/Tableau1[[#This Row],[Cl2 injected (mgCl2/L)]]</f>
        <v>0.06</v>
      </c>
      <c r="P138">
        <v>7.07</v>
      </c>
      <c r="Q138">
        <v>84.5</v>
      </c>
      <c r="R138">
        <v>81.010000000000005</v>
      </c>
      <c r="S138">
        <f>Tableau1[[#This Row],[dioxane (microgram/L)]]/Tableau1[[#This Row],[Dioxane C0]]</f>
        <v>0.95869822485207101</v>
      </c>
      <c r="T138">
        <v>134.19</v>
      </c>
      <c r="U138">
        <v>117.05</v>
      </c>
      <c r="V138">
        <f>Tableau1[[#This Row],[sucralose (microgram/L]]/Tableau1[[#This Row],[sucralose C0 (microgram/L)]]</f>
        <v>0.87227066100305539</v>
      </c>
      <c r="Z138" s="2">
        <v>91.29</v>
      </c>
      <c r="AA138">
        <v>49.36</v>
      </c>
      <c r="AB138">
        <f>Tableau1[[#This Row],[Carbamazepine (microgram/L)]]/Tableau1[[#This Row],[Carbamazepine C0 (microgram/L)]]</f>
        <v>0.54069449008653736</v>
      </c>
    </row>
    <row r="139" spans="1:28" hidden="1" x14ac:dyDescent="0.25">
      <c r="A139" t="s">
        <v>48</v>
      </c>
      <c r="B139" t="s">
        <v>53</v>
      </c>
      <c r="C139">
        <v>1</v>
      </c>
      <c r="D139">
        <v>2</v>
      </c>
      <c r="E139">
        <v>14</v>
      </c>
      <c r="G139">
        <v>3</v>
      </c>
      <c r="H139">
        <v>23</v>
      </c>
      <c r="J139">
        <v>1</v>
      </c>
      <c r="K139">
        <v>1.03</v>
      </c>
      <c r="L139">
        <v>0.03</v>
      </c>
      <c r="M139">
        <f>Tableau1[[#This Row],[Cl2free (mgCl2/L)]]/Tableau1[[#This Row],[Cl2 injected (mgCl2/L)]]</f>
        <v>2.142857142857143E-3</v>
      </c>
      <c r="N139">
        <v>0.57999999999999996</v>
      </c>
      <c r="O139">
        <f>Tableau1[[#This Row],[Cl2total (mgCl2/L)]]/Tableau1[[#This Row],[Cl2 injected (mgCl2/L)]]</f>
        <v>4.1428571428571426E-2</v>
      </c>
      <c r="P139">
        <v>7.03</v>
      </c>
      <c r="Q139">
        <v>84.5</v>
      </c>
      <c r="R139">
        <v>80.47</v>
      </c>
      <c r="S139">
        <f>Tableau1[[#This Row],[dioxane (microgram/L)]]/Tableau1[[#This Row],[Dioxane C0]]</f>
        <v>0.9523076923076923</v>
      </c>
      <c r="T139">
        <v>134.19</v>
      </c>
      <c r="U139">
        <v>120.87</v>
      </c>
      <c r="V139">
        <f>Tableau1[[#This Row],[sucralose (microgram/L]]/Tableau1[[#This Row],[sucralose C0 (microgram/L)]]</f>
        <v>0.90073775989268956</v>
      </c>
      <c r="Z139" s="2">
        <v>91.29</v>
      </c>
      <c r="AA139">
        <v>46.41</v>
      </c>
      <c r="AB139">
        <f>Tableau1[[#This Row],[Carbamazepine (microgram/L)]]/Tableau1[[#This Row],[Carbamazepine C0 (microgram/L)]]</f>
        <v>0.50837988826815639</v>
      </c>
    </row>
    <row r="140" spans="1:28" hidden="1" x14ac:dyDescent="0.25">
      <c r="A140" t="s">
        <v>48</v>
      </c>
      <c r="B140" t="s">
        <v>53</v>
      </c>
      <c r="C140">
        <v>1</v>
      </c>
      <c r="D140">
        <v>2</v>
      </c>
      <c r="E140">
        <v>14</v>
      </c>
      <c r="G140">
        <v>4</v>
      </c>
      <c r="H140">
        <v>24</v>
      </c>
      <c r="J140">
        <v>1</v>
      </c>
      <c r="K140">
        <v>1.03</v>
      </c>
      <c r="L140">
        <v>0.03</v>
      </c>
      <c r="M140">
        <f>Tableau1[[#This Row],[Cl2free (mgCl2/L)]]/Tableau1[[#This Row],[Cl2 injected (mgCl2/L)]]</f>
        <v>2.142857142857143E-3</v>
      </c>
      <c r="N140">
        <v>0.42</v>
      </c>
      <c r="O140">
        <f>Tableau1[[#This Row],[Cl2total (mgCl2/L)]]/Tableau1[[#This Row],[Cl2 injected (mgCl2/L)]]</f>
        <v>0.03</v>
      </c>
      <c r="P140">
        <v>7.14</v>
      </c>
      <c r="Q140">
        <v>84.5</v>
      </c>
      <c r="R140">
        <v>77.010000000000005</v>
      </c>
      <c r="S140">
        <f>Tableau1[[#This Row],[dioxane (microgram/L)]]/Tableau1[[#This Row],[Dioxane C0]]</f>
        <v>0.91136094674556223</v>
      </c>
      <c r="T140">
        <v>134.19</v>
      </c>
      <c r="U140">
        <v>114.63</v>
      </c>
      <c r="V140">
        <f>Tableau1[[#This Row],[sucralose (microgram/L]]/Tableau1[[#This Row],[sucralose C0 (microgram/L)]]</f>
        <v>0.85423653029286828</v>
      </c>
      <c r="Z140" s="2">
        <v>91.29</v>
      </c>
      <c r="AA140" s="2">
        <v>43.85</v>
      </c>
      <c r="AB140">
        <f>Tableau1[[#This Row],[Carbamazepine (microgram/L)]]/Tableau1[[#This Row],[Carbamazepine C0 (microgram/L)]]</f>
        <v>0.4803373863511885</v>
      </c>
    </row>
    <row r="141" spans="1:28" hidden="1" x14ac:dyDescent="0.25">
      <c r="A141" t="s">
        <v>49</v>
      </c>
      <c r="B141" t="s">
        <v>53</v>
      </c>
      <c r="C141">
        <v>1</v>
      </c>
      <c r="D141">
        <v>1</v>
      </c>
      <c r="E141">
        <v>20</v>
      </c>
      <c r="G141">
        <v>0</v>
      </c>
      <c r="H141">
        <v>1</v>
      </c>
      <c r="J141">
        <v>1</v>
      </c>
      <c r="K141">
        <v>1.06</v>
      </c>
      <c r="L141">
        <v>3.68</v>
      </c>
      <c r="M141">
        <f>Tableau1[[#This Row],[Cl2free (mgCl2/L)]]/Tableau1[[#This Row],[Cl2 injected (mgCl2/L)]]</f>
        <v>0.184</v>
      </c>
      <c r="N141">
        <v>8.9600000000000009</v>
      </c>
      <c r="O141">
        <f>Tableau1[[#This Row],[Cl2total (mgCl2/L)]]/Tableau1[[#This Row],[Cl2 injected (mgCl2/L)]]</f>
        <v>0.44800000000000006</v>
      </c>
      <c r="P141">
        <v>7.46</v>
      </c>
      <c r="Q141">
        <v>93.43</v>
      </c>
      <c r="R141">
        <v>93.43</v>
      </c>
      <c r="S141">
        <f>Tableau1[[#This Row],[dioxane (microgram/L)]]/Tableau1[[#This Row],[Dioxane C0]]</f>
        <v>1</v>
      </c>
      <c r="T141">
        <v>129.96</v>
      </c>
      <c r="U141">
        <v>129.96</v>
      </c>
      <c r="V141">
        <f>Tableau1[[#This Row],[sucralose (microgram/L]]/Tableau1[[#This Row],[sucralose C0 (microgram/L)]]</f>
        <v>1</v>
      </c>
      <c r="Z141">
        <v>58.07</v>
      </c>
      <c r="AA141">
        <v>58.07</v>
      </c>
      <c r="AB141">
        <f>Tableau1[[#This Row],[Carbamazepine (microgram/L)]]/Tableau1[[#This Row],[Carbamazepine C0 (microgram/L)]]</f>
        <v>1</v>
      </c>
    </row>
    <row r="142" spans="1:28" hidden="1" x14ac:dyDescent="0.25">
      <c r="A142" t="s">
        <v>49</v>
      </c>
      <c r="B142" t="s">
        <v>53</v>
      </c>
      <c r="C142">
        <v>1</v>
      </c>
      <c r="D142">
        <v>1</v>
      </c>
      <c r="E142">
        <v>20</v>
      </c>
      <c r="G142">
        <v>0</v>
      </c>
      <c r="H142">
        <v>20</v>
      </c>
      <c r="J142">
        <v>1</v>
      </c>
      <c r="K142">
        <v>1.06</v>
      </c>
      <c r="L142">
        <v>3.68</v>
      </c>
      <c r="M142">
        <f>Tableau1[[#This Row],[Cl2free (mgCl2/L)]]/Tableau1[[#This Row],[Cl2 injected (mgCl2/L)]]</f>
        <v>0.184</v>
      </c>
      <c r="N142">
        <v>8.9600000000000009</v>
      </c>
      <c r="O142">
        <f>Tableau1[[#This Row],[Cl2total (mgCl2/L)]]/Tableau1[[#This Row],[Cl2 injected (mgCl2/L)]]</f>
        <v>0.44800000000000006</v>
      </c>
      <c r="P142">
        <v>7.46</v>
      </c>
      <c r="Q142">
        <v>93.43</v>
      </c>
      <c r="R142">
        <v>94.7</v>
      </c>
      <c r="S142">
        <f>Tableau1[[#This Row],[dioxane (microgram/L)]]/Tableau1[[#This Row],[Dioxane C0]]</f>
        <v>1.0135930643262334</v>
      </c>
      <c r="T142">
        <v>129.96</v>
      </c>
      <c r="U142">
        <v>153.51</v>
      </c>
      <c r="V142">
        <f>Tableau1[[#This Row],[sucralose (microgram/L]]/Tableau1[[#This Row],[sucralose C0 (microgram/L)]]</f>
        <v>1.1812096029547552</v>
      </c>
      <c r="Z142">
        <v>58.07</v>
      </c>
      <c r="AA142">
        <v>55.32</v>
      </c>
      <c r="AB142">
        <f>Tableau1[[#This Row],[Carbamazepine (microgram/L)]]/Tableau1[[#This Row],[Carbamazepine C0 (microgram/L)]]</f>
        <v>0.95264336146030648</v>
      </c>
    </row>
    <row r="143" spans="1:28" hidden="1" x14ac:dyDescent="0.25">
      <c r="A143" t="s">
        <v>49</v>
      </c>
      <c r="B143" t="s">
        <v>53</v>
      </c>
      <c r="C143">
        <v>1</v>
      </c>
      <c r="D143">
        <v>1</v>
      </c>
      <c r="E143">
        <v>20</v>
      </c>
      <c r="G143">
        <v>1</v>
      </c>
      <c r="H143">
        <v>21</v>
      </c>
      <c r="J143">
        <v>1</v>
      </c>
      <c r="K143">
        <v>1.06</v>
      </c>
      <c r="L143">
        <v>1.92</v>
      </c>
      <c r="M143">
        <f>Tableau1[[#This Row],[Cl2free (mgCl2/L)]]/Tableau1[[#This Row],[Cl2 injected (mgCl2/L)]]</f>
        <v>9.6000000000000002E-2</v>
      </c>
      <c r="N143">
        <v>6.16</v>
      </c>
      <c r="O143">
        <f>Tableau1[[#This Row],[Cl2total (mgCl2/L)]]/Tableau1[[#This Row],[Cl2 injected (mgCl2/L)]]</f>
        <v>0.308</v>
      </c>
      <c r="P143">
        <v>7.43</v>
      </c>
      <c r="Q143">
        <v>93.43</v>
      </c>
      <c r="R143">
        <v>85.55</v>
      </c>
      <c r="S143">
        <f>Tableau1[[#This Row],[dioxane (microgram/L)]]/Tableau1[[#This Row],[Dioxane C0]]</f>
        <v>0.91565878197581063</v>
      </c>
      <c r="T143">
        <v>129.96</v>
      </c>
      <c r="U143">
        <v>116.73</v>
      </c>
      <c r="V143">
        <f>Tableau1[[#This Row],[sucralose (microgram/L]]/Tableau1[[#This Row],[sucralose C0 (microgram/L)]]</f>
        <v>0.89819944598337953</v>
      </c>
      <c r="Z143">
        <v>58.07</v>
      </c>
      <c r="AA143">
        <v>37.65</v>
      </c>
      <c r="AB143">
        <f>Tableau1[[#This Row],[Carbamazepine (microgram/L)]]/Tableau1[[#This Row],[Carbamazepine C0 (microgram/L)]]</f>
        <v>0.64835543309798516</v>
      </c>
    </row>
    <row r="144" spans="1:28" hidden="1" x14ac:dyDescent="0.25">
      <c r="A144" t="s">
        <v>49</v>
      </c>
      <c r="B144" t="s">
        <v>53</v>
      </c>
      <c r="C144">
        <v>1</v>
      </c>
      <c r="D144">
        <v>1</v>
      </c>
      <c r="E144">
        <v>20</v>
      </c>
      <c r="G144">
        <v>2</v>
      </c>
      <c r="H144">
        <v>22</v>
      </c>
      <c r="J144">
        <v>1</v>
      </c>
      <c r="K144">
        <v>1.06</v>
      </c>
      <c r="L144">
        <v>1.42</v>
      </c>
      <c r="M144">
        <f>Tableau1[[#This Row],[Cl2free (mgCl2/L)]]/Tableau1[[#This Row],[Cl2 injected (mgCl2/L)]]</f>
        <v>7.0999999999999994E-2</v>
      </c>
      <c r="N144">
        <v>4.4000000000000004</v>
      </c>
      <c r="O144">
        <f>Tableau1[[#This Row],[Cl2total (mgCl2/L)]]/Tableau1[[#This Row],[Cl2 injected (mgCl2/L)]]</f>
        <v>0.22000000000000003</v>
      </c>
      <c r="P144">
        <v>7.22</v>
      </c>
      <c r="Q144">
        <v>93.43</v>
      </c>
      <c r="R144">
        <v>78.83</v>
      </c>
      <c r="S144">
        <f>Tableau1[[#This Row],[dioxane (microgram/L)]]/Tableau1[[#This Row],[Dioxane C0]]</f>
        <v>0.8437332762495986</v>
      </c>
      <c r="T144">
        <v>129.96</v>
      </c>
      <c r="U144">
        <v>126.84</v>
      </c>
      <c r="V144">
        <f>Tableau1[[#This Row],[sucralose (microgram/L]]/Tableau1[[#This Row],[sucralose C0 (microgram/L)]]</f>
        <v>0.97599261311172669</v>
      </c>
      <c r="Z144">
        <v>58.07</v>
      </c>
      <c r="AA144">
        <v>21.02</v>
      </c>
      <c r="AB144">
        <f>Tableau1[[#This Row],[Carbamazepine (microgram/L)]]/Tableau1[[#This Row],[Carbamazepine C0 (microgram/L)]]</f>
        <v>0.3619769244015843</v>
      </c>
    </row>
    <row r="145" spans="1:28" hidden="1" x14ac:dyDescent="0.25">
      <c r="A145" t="s">
        <v>49</v>
      </c>
      <c r="B145" t="s">
        <v>53</v>
      </c>
      <c r="C145">
        <v>1</v>
      </c>
      <c r="D145">
        <v>1</v>
      </c>
      <c r="E145">
        <v>20</v>
      </c>
      <c r="G145">
        <v>3</v>
      </c>
      <c r="H145">
        <v>23</v>
      </c>
      <c r="J145">
        <v>1</v>
      </c>
      <c r="K145">
        <v>1.06</v>
      </c>
      <c r="L145">
        <v>0.6</v>
      </c>
      <c r="M145">
        <f>Tableau1[[#This Row],[Cl2free (mgCl2/L)]]/Tableau1[[#This Row],[Cl2 injected (mgCl2/L)]]</f>
        <v>0.03</v>
      </c>
      <c r="N145">
        <v>3.12</v>
      </c>
      <c r="O145">
        <f>Tableau1[[#This Row],[Cl2total (mgCl2/L)]]/Tableau1[[#This Row],[Cl2 injected (mgCl2/L)]]</f>
        <v>0.156</v>
      </c>
      <c r="P145">
        <v>7.11</v>
      </c>
      <c r="Q145">
        <v>93.43</v>
      </c>
      <c r="R145">
        <v>70</v>
      </c>
      <c r="S145">
        <f>Tableau1[[#This Row],[dioxane (microgram/L)]]/Tableau1[[#This Row],[Dioxane C0]]</f>
        <v>0.74922401798137639</v>
      </c>
      <c r="T145">
        <v>129.96</v>
      </c>
      <c r="U145">
        <v>121.82</v>
      </c>
      <c r="V145">
        <f>Tableau1[[#This Row],[sucralose (microgram/L]]/Tableau1[[#This Row],[sucralose C0 (microgram/L)]]</f>
        <v>0.93736534318251763</v>
      </c>
      <c r="Z145">
        <v>58.07</v>
      </c>
      <c r="AA145">
        <v>11.47</v>
      </c>
      <c r="AB145">
        <f>Tableau1[[#This Row],[Carbamazepine (microgram/L)]]/Tableau1[[#This Row],[Carbamazepine C0 (microgram/L)]]</f>
        <v>0.19752023420010334</v>
      </c>
    </row>
    <row r="146" spans="1:28" hidden="1" x14ac:dyDescent="0.25">
      <c r="A146" t="s">
        <v>49</v>
      </c>
      <c r="B146" t="s">
        <v>53</v>
      </c>
      <c r="C146">
        <v>1</v>
      </c>
      <c r="D146">
        <v>1</v>
      </c>
      <c r="E146">
        <v>20</v>
      </c>
      <c r="G146">
        <v>4</v>
      </c>
      <c r="H146">
        <v>24</v>
      </c>
      <c r="J146">
        <v>1</v>
      </c>
      <c r="K146">
        <v>1.06</v>
      </c>
      <c r="L146">
        <v>0.45</v>
      </c>
      <c r="M146">
        <f>Tableau1[[#This Row],[Cl2free (mgCl2/L)]]/Tableau1[[#This Row],[Cl2 injected (mgCl2/L)]]</f>
        <v>2.2499999999999999E-2</v>
      </c>
      <c r="N146">
        <v>1.92</v>
      </c>
      <c r="O146">
        <f>Tableau1[[#This Row],[Cl2total (mgCl2/L)]]/Tableau1[[#This Row],[Cl2 injected (mgCl2/L)]]</f>
        <v>9.6000000000000002E-2</v>
      </c>
      <c r="P146">
        <v>7.11</v>
      </c>
      <c r="Q146">
        <v>93.43</v>
      </c>
      <c r="R146">
        <v>65.19</v>
      </c>
      <c r="S146">
        <f>Tableau1[[#This Row],[dioxane (microgram/L)]]/Tableau1[[#This Row],[Dioxane C0]]</f>
        <v>0.69774162474579893</v>
      </c>
      <c r="T146">
        <v>129.96</v>
      </c>
      <c r="U146">
        <v>94.18</v>
      </c>
      <c r="V146">
        <f>Tableau1[[#This Row],[sucralose (microgram/L]]/Tableau1[[#This Row],[sucralose C0 (microgram/L)]]</f>
        <v>0.72468451831332714</v>
      </c>
      <c r="Z146">
        <v>58.07</v>
      </c>
      <c r="AA146">
        <v>6.85</v>
      </c>
      <c r="AB146">
        <f>Tableau1[[#This Row],[Carbamazepine (microgram/L)]]/Tableau1[[#This Row],[Carbamazepine C0 (microgram/L)]]</f>
        <v>0.11796108145341828</v>
      </c>
    </row>
    <row r="147" spans="1:28" hidden="1" x14ac:dyDescent="0.25">
      <c r="A147" t="s">
        <v>49</v>
      </c>
      <c r="B147" t="s">
        <v>53</v>
      </c>
      <c r="C147">
        <v>1</v>
      </c>
      <c r="D147">
        <v>2</v>
      </c>
      <c r="E147">
        <v>20</v>
      </c>
      <c r="G147">
        <v>0</v>
      </c>
      <c r="H147">
        <v>1</v>
      </c>
      <c r="J147">
        <v>1</v>
      </c>
      <c r="K147">
        <v>1.06</v>
      </c>
      <c r="L147">
        <v>3.68</v>
      </c>
      <c r="M147">
        <f>Tableau1[[#This Row],[Cl2free (mgCl2/L)]]/Tableau1[[#This Row],[Cl2 injected (mgCl2/L)]]</f>
        <v>0.184</v>
      </c>
      <c r="N147">
        <v>8.9600000000000009</v>
      </c>
      <c r="O147">
        <f>Tableau1[[#This Row],[Cl2total (mgCl2/L)]]/Tableau1[[#This Row],[Cl2 injected (mgCl2/L)]]</f>
        <v>0.44800000000000006</v>
      </c>
      <c r="P147">
        <v>7.46</v>
      </c>
      <c r="Q147">
        <v>91.75</v>
      </c>
      <c r="R147">
        <v>91.75</v>
      </c>
      <c r="S147">
        <f>Tableau1[[#This Row],[dioxane (microgram/L)]]/Tableau1[[#This Row],[Dioxane C0]]</f>
        <v>1</v>
      </c>
      <c r="T147">
        <v>129.61000000000001</v>
      </c>
      <c r="U147">
        <v>129.61000000000001</v>
      </c>
      <c r="V147">
        <f>Tableau1[[#This Row],[sucralose (microgram/L]]/Tableau1[[#This Row],[sucralose C0 (microgram/L)]]</f>
        <v>1</v>
      </c>
      <c r="Z147">
        <v>60.02</v>
      </c>
      <c r="AA147">
        <v>60.02</v>
      </c>
      <c r="AB147">
        <f>Tableau1[[#This Row],[Carbamazepine (microgram/L)]]/Tableau1[[#This Row],[Carbamazepine C0 (microgram/L)]]</f>
        <v>1</v>
      </c>
    </row>
    <row r="148" spans="1:28" hidden="1" x14ac:dyDescent="0.25">
      <c r="A148" t="s">
        <v>49</v>
      </c>
      <c r="B148" t="s">
        <v>53</v>
      </c>
      <c r="C148">
        <v>1</v>
      </c>
      <c r="D148">
        <v>2</v>
      </c>
      <c r="E148">
        <v>20</v>
      </c>
      <c r="G148">
        <v>0</v>
      </c>
      <c r="H148">
        <v>20</v>
      </c>
      <c r="J148">
        <v>1</v>
      </c>
      <c r="K148">
        <v>1.06</v>
      </c>
      <c r="L148">
        <v>3.68</v>
      </c>
      <c r="M148">
        <f>Tableau1[[#This Row],[Cl2free (mgCl2/L)]]/Tableau1[[#This Row],[Cl2 injected (mgCl2/L)]]</f>
        <v>0.184</v>
      </c>
      <c r="N148">
        <v>8.9600000000000009</v>
      </c>
      <c r="O148">
        <f>Tableau1[[#This Row],[Cl2total (mgCl2/L)]]/Tableau1[[#This Row],[Cl2 injected (mgCl2/L)]]</f>
        <v>0.44800000000000006</v>
      </c>
      <c r="P148">
        <v>7.46</v>
      </c>
      <c r="Q148">
        <v>91.75</v>
      </c>
      <c r="R148">
        <v>96.57</v>
      </c>
      <c r="S148">
        <f>Tableau1[[#This Row],[dioxane (microgram/L)]]/Tableau1[[#This Row],[Dioxane C0]]</f>
        <v>1.052534059945504</v>
      </c>
      <c r="T148">
        <v>129.61000000000001</v>
      </c>
      <c r="U148">
        <v>142.27000000000001</v>
      </c>
      <c r="V148">
        <f>Tableau1[[#This Row],[sucralose (microgram/L]]/Tableau1[[#This Row],[sucralose C0 (microgram/L)]]</f>
        <v>1.0976776483296042</v>
      </c>
      <c r="Z148">
        <v>60.02</v>
      </c>
      <c r="AA148">
        <v>53.32</v>
      </c>
      <c r="AB148">
        <f>Tableau1[[#This Row],[Carbamazepine (microgram/L)]]/Tableau1[[#This Row],[Carbamazepine C0 (microgram/L)]]</f>
        <v>0.88837054315228248</v>
      </c>
    </row>
    <row r="149" spans="1:28" hidden="1" x14ac:dyDescent="0.25">
      <c r="A149" t="s">
        <v>49</v>
      </c>
      <c r="B149" t="s">
        <v>53</v>
      </c>
      <c r="C149">
        <v>1</v>
      </c>
      <c r="D149">
        <v>2</v>
      </c>
      <c r="E149">
        <v>20</v>
      </c>
      <c r="G149">
        <v>1</v>
      </c>
      <c r="H149">
        <v>21</v>
      </c>
      <c r="J149">
        <v>1</v>
      </c>
      <c r="K149">
        <v>1.06</v>
      </c>
      <c r="L149">
        <v>1.92</v>
      </c>
      <c r="M149">
        <f>Tableau1[[#This Row],[Cl2free (mgCl2/L)]]/Tableau1[[#This Row],[Cl2 injected (mgCl2/L)]]</f>
        <v>9.6000000000000002E-2</v>
      </c>
      <c r="N149">
        <v>6.16</v>
      </c>
      <c r="O149">
        <f>Tableau1[[#This Row],[Cl2total (mgCl2/L)]]/Tableau1[[#This Row],[Cl2 injected (mgCl2/L)]]</f>
        <v>0.308</v>
      </c>
      <c r="P149">
        <v>7.43</v>
      </c>
      <c r="Q149">
        <v>91.75</v>
      </c>
      <c r="R149">
        <v>85.57</v>
      </c>
      <c r="S149">
        <f>Tableau1[[#This Row],[dioxane (microgram/L)]]/Tableau1[[#This Row],[Dioxane C0]]</f>
        <v>0.93264305177111706</v>
      </c>
      <c r="T149">
        <v>129.61000000000001</v>
      </c>
      <c r="U149">
        <v>127.31</v>
      </c>
      <c r="V149">
        <f>Tableau1[[#This Row],[sucralose (microgram/L]]/Tableau1[[#This Row],[sucralose C0 (microgram/L)]]</f>
        <v>0.98225445567471636</v>
      </c>
      <c r="Z149">
        <v>60.02</v>
      </c>
      <c r="AA149">
        <v>34.81</v>
      </c>
      <c r="AB149">
        <f>Tableau1[[#This Row],[Carbamazepine (microgram/L)]]/Tableau1[[#This Row],[Carbamazepine C0 (microgram/L)]]</f>
        <v>0.57997334221926022</v>
      </c>
    </row>
    <row r="150" spans="1:28" hidden="1" x14ac:dyDescent="0.25">
      <c r="A150" t="s">
        <v>49</v>
      </c>
      <c r="B150" t="s">
        <v>53</v>
      </c>
      <c r="C150">
        <v>1</v>
      </c>
      <c r="D150">
        <v>2</v>
      </c>
      <c r="E150">
        <v>20</v>
      </c>
      <c r="G150">
        <v>2</v>
      </c>
      <c r="H150">
        <v>22</v>
      </c>
      <c r="J150">
        <v>1</v>
      </c>
      <c r="K150">
        <v>1.06</v>
      </c>
      <c r="L150">
        <v>1.42</v>
      </c>
      <c r="M150">
        <f>Tableau1[[#This Row],[Cl2free (mgCl2/L)]]/Tableau1[[#This Row],[Cl2 injected (mgCl2/L)]]</f>
        <v>7.0999999999999994E-2</v>
      </c>
      <c r="N150">
        <v>4.4000000000000004</v>
      </c>
      <c r="O150">
        <f>Tableau1[[#This Row],[Cl2total (mgCl2/L)]]/Tableau1[[#This Row],[Cl2 injected (mgCl2/L)]]</f>
        <v>0.22000000000000003</v>
      </c>
      <c r="P150">
        <v>7.22</v>
      </c>
      <c r="Q150">
        <v>91.75</v>
      </c>
      <c r="R150">
        <v>80.62</v>
      </c>
      <c r="S150">
        <f>Tableau1[[#This Row],[dioxane (microgram/L)]]/Tableau1[[#This Row],[Dioxane C0]]</f>
        <v>0.87869209809264315</v>
      </c>
      <c r="T150">
        <v>129.61000000000001</v>
      </c>
      <c r="U150">
        <v>122.25</v>
      </c>
      <c r="V150">
        <f>Tableau1[[#This Row],[sucralose (microgram/L]]/Tableau1[[#This Row],[sucralose C0 (microgram/L)]]</f>
        <v>0.94321425815909254</v>
      </c>
      <c r="Z150">
        <v>60.02</v>
      </c>
      <c r="AA150">
        <v>20.79</v>
      </c>
      <c r="AB150">
        <f>Tableau1[[#This Row],[Carbamazepine (microgram/L)]]/Tableau1[[#This Row],[Carbamazepine C0 (microgram/L)]]</f>
        <v>0.34638453848717093</v>
      </c>
    </row>
    <row r="151" spans="1:28" hidden="1" x14ac:dyDescent="0.25">
      <c r="A151" t="s">
        <v>49</v>
      </c>
      <c r="B151" t="s">
        <v>53</v>
      </c>
      <c r="C151">
        <v>1</v>
      </c>
      <c r="D151">
        <v>2</v>
      </c>
      <c r="E151">
        <v>20</v>
      </c>
      <c r="G151">
        <v>3</v>
      </c>
      <c r="H151">
        <v>23</v>
      </c>
      <c r="J151">
        <v>1</v>
      </c>
      <c r="K151">
        <v>1.06</v>
      </c>
      <c r="L151">
        <v>0.6</v>
      </c>
      <c r="M151">
        <f>Tableau1[[#This Row],[Cl2free (mgCl2/L)]]/Tableau1[[#This Row],[Cl2 injected (mgCl2/L)]]</f>
        <v>0.03</v>
      </c>
      <c r="N151">
        <v>3.12</v>
      </c>
      <c r="O151">
        <f>Tableau1[[#This Row],[Cl2total (mgCl2/L)]]/Tableau1[[#This Row],[Cl2 injected (mgCl2/L)]]</f>
        <v>0.156</v>
      </c>
      <c r="P151">
        <v>7.11</v>
      </c>
      <c r="Q151">
        <v>91.75</v>
      </c>
      <c r="R151">
        <v>76.89</v>
      </c>
      <c r="S151">
        <f>Tableau1[[#This Row],[dioxane (microgram/L)]]/Tableau1[[#This Row],[Dioxane C0]]</f>
        <v>0.83803814713896463</v>
      </c>
      <c r="T151">
        <v>129.61000000000001</v>
      </c>
      <c r="U151">
        <v>117.87</v>
      </c>
      <c r="V151">
        <f>Tableau1[[#This Row],[sucralose (microgram/L]]/Tableau1[[#This Row],[sucralose C0 (microgram/L)]]</f>
        <v>0.90942056940050919</v>
      </c>
      <c r="Z151">
        <v>60.02</v>
      </c>
      <c r="AA151">
        <v>11.53</v>
      </c>
      <c r="AB151">
        <f>Tableau1[[#This Row],[Carbamazepine (microgram/L)]]/Tableau1[[#This Row],[Carbamazepine C0 (microgram/L)]]</f>
        <v>0.19210263245584802</v>
      </c>
    </row>
    <row r="152" spans="1:28" hidden="1" x14ac:dyDescent="0.25">
      <c r="A152" t="s">
        <v>49</v>
      </c>
      <c r="B152" t="s">
        <v>53</v>
      </c>
      <c r="C152">
        <v>1</v>
      </c>
      <c r="D152">
        <v>2</v>
      </c>
      <c r="E152">
        <v>20</v>
      </c>
      <c r="G152">
        <v>4</v>
      </c>
      <c r="H152">
        <v>24</v>
      </c>
      <c r="J152">
        <v>1</v>
      </c>
      <c r="K152">
        <v>1.06</v>
      </c>
      <c r="L152">
        <v>0.45</v>
      </c>
      <c r="M152">
        <f>Tableau1[[#This Row],[Cl2free (mgCl2/L)]]/Tableau1[[#This Row],[Cl2 injected (mgCl2/L)]]</f>
        <v>2.2499999999999999E-2</v>
      </c>
      <c r="N152">
        <v>1.92</v>
      </c>
      <c r="O152">
        <f>Tableau1[[#This Row],[Cl2total (mgCl2/L)]]/Tableau1[[#This Row],[Cl2 injected (mgCl2/L)]]</f>
        <v>9.6000000000000002E-2</v>
      </c>
      <c r="P152">
        <v>7.11</v>
      </c>
      <c r="Q152">
        <v>91.75</v>
      </c>
      <c r="R152">
        <v>72.290000000000006</v>
      </c>
      <c r="S152">
        <f>Tableau1[[#This Row],[dioxane (microgram/L)]]/Tableau1[[#This Row],[Dioxane C0]]</f>
        <v>0.78790190735694832</v>
      </c>
      <c r="T152">
        <v>129.61000000000001</v>
      </c>
      <c r="U152">
        <v>99.77</v>
      </c>
      <c r="V152">
        <f>Tableau1[[#This Row],[sucralose (microgram/L]]/Tableau1[[#This Row],[sucralose C0 (microgram/L)]]</f>
        <v>0.76977085101458209</v>
      </c>
      <c r="Z152">
        <v>60.02</v>
      </c>
      <c r="AA152">
        <v>6.5</v>
      </c>
      <c r="AB152">
        <f>Tableau1[[#This Row],[Carbamazepine (microgram/L)]]/Tableau1[[#This Row],[Carbamazepine C0 (microgram/L)]]</f>
        <v>0.10829723425524825</v>
      </c>
    </row>
    <row r="153" spans="1:28" x14ac:dyDescent="0.25">
      <c r="A153" t="s">
        <v>50</v>
      </c>
      <c r="B153" t="s">
        <v>53</v>
      </c>
      <c r="C153">
        <v>1</v>
      </c>
      <c r="D153">
        <v>1</v>
      </c>
      <c r="E153">
        <v>25</v>
      </c>
      <c r="G153">
        <v>0</v>
      </c>
      <c r="H153">
        <v>1</v>
      </c>
      <c r="J153">
        <v>1</v>
      </c>
      <c r="K153">
        <v>1.26</v>
      </c>
      <c r="L153">
        <v>6.9</v>
      </c>
      <c r="M153">
        <f>Tableau1[[#This Row],[Cl2free (mgCl2/L)]]/Tableau1[[#This Row],[Cl2 injected (mgCl2/L)]]</f>
        <v>0.27600000000000002</v>
      </c>
      <c r="N153">
        <v>10.8</v>
      </c>
      <c r="O153">
        <f>Tableau1[[#This Row],[Cl2total (mgCl2/L)]]/Tableau1[[#This Row],[Cl2 injected (mgCl2/L)]]</f>
        <v>0.43200000000000005</v>
      </c>
      <c r="P153">
        <v>7.37</v>
      </c>
      <c r="Q153">
        <v>94.71</v>
      </c>
      <c r="R153">
        <v>94.71</v>
      </c>
      <c r="S153">
        <f>Tableau1[[#This Row],[dioxane (microgram/L)]]/Tableau1[[#This Row],[Dioxane C0]]</f>
        <v>1</v>
      </c>
      <c r="T153">
        <v>147.79</v>
      </c>
      <c r="U153">
        <v>147.79</v>
      </c>
      <c r="V153">
        <f>Tableau1[[#This Row],[sucralose (microgram/L]]/Tableau1[[#This Row],[sucralose C0 (microgram/L)]]</f>
        <v>1</v>
      </c>
      <c r="Z153">
        <v>68.3</v>
      </c>
      <c r="AA153">
        <v>68.3</v>
      </c>
      <c r="AB153">
        <f>Tableau1[[#This Row],[Carbamazepine (microgram/L)]]/Tableau1[[#This Row],[Carbamazepine C0 (microgram/L)]]</f>
        <v>1</v>
      </c>
    </row>
    <row r="154" spans="1:28" x14ac:dyDescent="0.25">
      <c r="A154" t="s">
        <v>50</v>
      </c>
      <c r="B154" t="s">
        <v>53</v>
      </c>
      <c r="C154">
        <v>1</v>
      </c>
      <c r="D154">
        <v>1</v>
      </c>
      <c r="E154">
        <v>25</v>
      </c>
      <c r="G154">
        <v>0</v>
      </c>
      <c r="H154">
        <v>20</v>
      </c>
      <c r="J154">
        <v>1</v>
      </c>
      <c r="K154">
        <v>1.26</v>
      </c>
      <c r="L154">
        <v>6.9</v>
      </c>
      <c r="M154">
        <f>Tableau1[[#This Row],[Cl2free (mgCl2/L)]]/Tableau1[[#This Row],[Cl2 injected (mgCl2/L)]]</f>
        <v>0.27600000000000002</v>
      </c>
      <c r="N154">
        <v>10.8</v>
      </c>
      <c r="O154">
        <f>Tableau1[[#This Row],[Cl2total (mgCl2/L)]]/Tableau1[[#This Row],[Cl2 injected (mgCl2/L)]]</f>
        <v>0.43200000000000005</v>
      </c>
      <c r="P154">
        <v>7.37</v>
      </c>
      <c r="Q154">
        <v>94.71</v>
      </c>
      <c r="R154">
        <v>94.71</v>
      </c>
      <c r="S154">
        <f>Tableau1[[#This Row],[dioxane (microgram/L)]]/Tableau1[[#This Row],[Dioxane C0]]</f>
        <v>1</v>
      </c>
      <c r="T154">
        <v>147.79</v>
      </c>
      <c r="U154">
        <v>147.79</v>
      </c>
      <c r="V154">
        <f>Tableau1[[#This Row],[sucralose (microgram/L]]/Tableau1[[#This Row],[sucralose C0 (microgram/L)]]</f>
        <v>1</v>
      </c>
      <c r="Z154">
        <v>68.3</v>
      </c>
      <c r="AA154">
        <v>68.3</v>
      </c>
      <c r="AB154">
        <f>Tableau1[[#This Row],[Carbamazepine (microgram/L)]]/Tableau1[[#This Row],[Carbamazepine C0 (microgram/L)]]</f>
        <v>1</v>
      </c>
    </row>
    <row r="155" spans="1:28" x14ac:dyDescent="0.25">
      <c r="A155" t="s">
        <v>50</v>
      </c>
      <c r="B155" t="s">
        <v>53</v>
      </c>
      <c r="C155">
        <v>1</v>
      </c>
      <c r="D155">
        <v>1</v>
      </c>
      <c r="E155">
        <v>25</v>
      </c>
      <c r="G155">
        <v>1</v>
      </c>
      <c r="H155">
        <v>21</v>
      </c>
      <c r="J155">
        <v>1</v>
      </c>
      <c r="K155">
        <v>1.26</v>
      </c>
      <c r="L155">
        <v>4.4000000000000004</v>
      </c>
      <c r="M155">
        <f>Tableau1[[#This Row],[Cl2free (mgCl2/L)]]/Tableau1[[#This Row],[Cl2 injected (mgCl2/L)]]</f>
        <v>0.17600000000000002</v>
      </c>
      <c r="N155">
        <v>7.9</v>
      </c>
      <c r="O155">
        <f>Tableau1[[#This Row],[Cl2total (mgCl2/L)]]/Tableau1[[#This Row],[Cl2 injected (mgCl2/L)]]</f>
        <v>0.316</v>
      </c>
      <c r="P155">
        <v>7.14</v>
      </c>
      <c r="Q155">
        <v>94.71</v>
      </c>
      <c r="R155">
        <v>81.27</v>
      </c>
      <c r="S155">
        <f>Tableau1[[#This Row],[dioxane (microgram/L)]]/Tableau1[[#This Row],[Dioxane C0]]</f>
        <v>0.85809312638580937</v>
      </c>
      <c r="T155">
        <v>147.79</v>
      </c>
      <c r="U155">
        <v>120.88</v>
      </c>
      <c r="V155">
        <f>Tableau1[[#This Row],[sucralose (microgram/L]]/Tableau1[[#This Row],[sucralose C0 (microgram/L)]]</f>
        <v>0.81791731510927668</v>
      </c>
      <c r="Z155">
        <v>68.3</v>
      </c>
      <c r="AA155">
        <v>33.72</v>
      </c>
      <c r="AB155">
        <f>Tableau1[[#This Row],[Carbamazepine (microgram/L)]]/Tableau1[[#This Row],[Carbamazepine C0 (microgram/L)]]</f>
        <v>0.49370424597364571</v>
      </c>
    </row>
    <row r="156" spans="1:28" x14ac:dyDescent="0.25">
      <c r="A156" t="s">
        <v>50</v>
      </c>
      <c r="B156" t="s">
        <v>53</v>
      </c>
      <c r="C156">
        <v>1</v>
      </c>
      <c r="D156">
        <v>1</v>
      </c>
      <c r="E156">
        <v>25</v>
      </c>
      <c r="G156">
        <v>2</v>
      </c>
      <c r="H156">
        <v>22</v>
      </c>
      <c r="J156">
        <v>1</v>
      </c>
      <c r="K156">
        <v>1.26</v>
      </c>
      <c r="L156">
        <v>2.64</v>
      </c>
      <c r="M156">
        <f>Tableau1[[#This Row],[Cl2free (mgCl2/L)]]/Tableau1[[#This Row],[Cl2 injected (mgCl2/L)]]</f>
        <v>0.1056</v>
      </c>
      <c r="N156">
        <v>5.28</v>
      </c>
      <c r="O156">
        <f>Tableau1[[#This Row],[Cl2total (mgCl2/L)]]/Tableau1[[#This Row],[Cl2 injected (mgCl2/L)]]</f>
        <v>0.2112</v>
      </c>
      <c r="P156">
        <v>7.1</v>
      </c>
      <c r="Q156">
        <v>94.71</v>
      </c>
      <c r="R156">
        <v>74.98</v>
      </c>
      <c r="S156">
        <f>Tableau1[[#This Row],[dioxane (microgram/L)]]/Tableau1[[#This Row],[Dioxane C0]]</f>
        <v>0.7916798648505966</v>
      </c>
      <c r="T156">
        <v>147.79</v>
      </c>
      <c r="U156">
        <v>115.07</v>
      </c>
      <c r="V156">
        <f>Tableau1[[#This Row],[sucralose (microgram/L]]/Tableau1[[#This Row],[sucralose C0 (microgram/L)]]</f>
        <v>0.77860477704851483</v>
      </c>
      <c r="Z156">
        <v>68.3</v>
      </c>
      <c r="AA156">
        <v>14.77</v>
      </c>
      <c r="AB156">
        <f>Tableau1[[#This Row],[Carbamazepine (microgram/L)]]/Tableau1[[#This Row],[Carbamazepine C0 (microgram/L)]]</f>
        <v>0.21625183016105418</v>
      </c>
    </row>
    <row r="157" spans="1:28" x14ac:dyDescent="0.25">
      <c r="A157" t="s">
        <v>50</v>
      </c>
      <c r="B157" t="s">
        <v>53</v>
      </c>
      <c r="C157">
        <v>1</v>
      </c>
      <c r="D157">
        <v>1</v>
      </c>
      <c r="E157">
        <v>25</v>
      </c>
      <c r="G157">
        <v>3</v>
      </c>
      <c r="H157">
        <v>23</v>
      </c>
      <c r="J157">
        <v>1</v>
      </c>
      <c r="K157">
        <v>1.26</v>
      </c>
      <c r="L157">
        <v>1.42</v>
      </c>
      <c r="M157">
        <f>Tableau1[[#This Row],[Cl2free (mgCl2/L)]]/Tableau1[[#This Row],[Cl2 injected (mgCl2/L)]]</f>
        <v>5.6799999999999996E-2</v>
      </c>
      <c r="N157">
        <v>3.56</v>
      </c>
      <c r="O157">
        <f>Tableau1[[#This Row],[Cl2total (mgCl2/L)]]/Tableau1[[#This Row],[Cl2 injected (mgCl2/L)]]</f>
        <v>0.1424</v>
      </c>
      <c r="P157">
        <v>7.02</v>
      </c>
      <c r="Q157">
        <v>94.71</v>
      </c>
      <c r="R157">
        <v>69.62</v>
      </c>
      <c r="S157">
        <f>Tableau1[[#This Row],[dioxane (microgram/L)]]/Tableau1[[#This Row],[Dioxane C0]]</f>
        <v>0.73508605215922296</v>
      </c>
      <c r="T157">
        <v>147.79</v>
      </c>
      <c r="U157">
        <v>96.06</v>
      </c>
      <c r="V157">
        <f>Tableau1[[#This Row],[sucralose (microgram/L]]/Tableau1[[#This Row],[sucralose C0 (microgram/L)]]</f>
        <v>0.64997631774815623</v>
      </c>
      <c r="Z157">
        <v>68.3</v>
      </c>
      <c r="AA157">
        <v>7.17</v>
      </c>
      <c r="AB157">
        <f>Tableau1[[#This Row],[Carbamazepine (microgram/L)]]/Tableau1[[#This Row],[Carbamazepine C0 (microgram/L)]]</f>
        <v>0.10497803806734993</v>
      </c>
    </row>
    <row r="158" spans="1:28" x14ac:dyDescent="0.25">
      <c r="A158" t="s">
        <v>50</v>
      </c>
      <c r="B158" t="s">
        <v>53</v>
      </c>
      <c r="C158">
        <v>1</v>
      </c>
      <c r="D158">
        <v>1</v>
      </c>
      <c r="E158">
        <v>25</v>
      </c>
      <c r="G158">
        <v>4</v>
      </c>
      <c r="H158">
        <v>24</v>
      </c>
      <c r="J158">
        <v>1</v>
      </c>
      <c r="K158">
        <v>1.26</v>
      </c>
      <c r="L158">
        <v>0.55000000000000004</v>
      </c>
      <c r="M158">
        <f>Tableau1[[#This Row],[Cl2free (mgCl2/L)]]/Tableau1[[#This Row],[Cl2 injected (mgCl2/L)]]</f>
        <v>2.2000000000000002E-2</v>
      </c>
      <c r="N158">
        <v>2.2400000000000002</v>
      </c>
      <c r="O158">
        <f>Tableau1[[#This Row],[Cl2total (mgCl2/L)]]/Tableau1[[#This Row],[Cl2 injected (mgCl2/L)]]</f>
        <v>8.9600000000000013E-2</v>
      </c>
      <c r="P158">
        <v>6.99</v>
      </c>
      <c r="Q158">
        <v>94.71</v>
      </c>
      <c r="R158">
        <v>66.8</v>
      </c>
      <c r="S158">
        <f>Tableau1[[#This Row],[dioxane (microgram/L)]]/Tableau1[[#This Row],[Dioxane C0]]</f>
        <v>0.70531094921338822</v>
      </c>
      <c r="T158">
        <v>147.79</v>
      </c>
      <c r="U158">
        <v>92.63</v>
      </c>
      <c r="V158">
        <f>Tableau1[[#This Row],[sucralose (microgram/L]]/Tableau1[[#This Row],[sucralose C0 (microgram/L)]]</f>
        <v>0.62676771094120032</v>
      </c>
      <c r="Z158">
        <v>68.3</v>
      </c>
      <c r="AA158">
        <v>3.34</v>
      </c>
      <c r="AB158">
        <f>Tableau1[[#This Row],[Carbamazepine (microgram/L)]]/Tableau1[[#This Row],[Carbamazepine C0 (microgram/L)]]</f>
        <v>4.8901903367496342E-2</v>
      </c>
    </row>
    <row r="159" spans="1:28" x14ac:dyDescent="0.25">
      <c r="A159" t="s">
        <v>50</v>
      </c>
      <c r="B159" t="s">
        <v>53</v>
      </c>
      <c r="C159">
        <v>1</v>
      </c>
      <c r="D159">
        <v>2</v>
      </c>
      <c r="E159">
        <v>25</v>
      </c>
      <c r="G159">
        <v>0</v>
      </c>
      <c r="H159">
        <v>1</v>
      </c>
      <c r="J159">
        <v>1</v>
      </c>
      <c r="K159">
        <v>1.26</v>
      </c>
      <c r="L159">
        <v>6.9</v>
      </c>
      <c r="M159">
        <f>Tableau1[[#This Row],[Cl2free (mgCl2/L)]]/Tableau1[[#This Row],[Cl2 injected (mgCl2/L)]]</f>
        <v>0.27600000000000002</v>
      </c>
      <c r="N159">
        <v>10.8</v>
      </c>
      <c r="O159">
        <f>Tableau1[[#This Row],[Cl2total (mgCl2/L)]]/Tableau1[[#This Row],[Cl2 injected (mgCl2/L)]]</f>
        <v>0.43200000000000005</v>
      </c>
      <c r="P159">
        <v>7.37</v>
      </c>
      <c r="Q159">
        <v>97.06</v>
      </c>
      <c r="R159">
        <v>97.06</v>
      </c>
      <c r="S159">
        <f>Tableau1[[#This Row],[dioxane (microgram/L)]]/Tableau1[[#This Row],[Dioxane C0]]</f>
        <v>1</v>
      </c>
      <c r="T159">
        <v>141.68</v>
      </c>
      <c r="U159">
        <v>141.68</v>
      </c>
      <c r="V159">
        <f>Tableau1[[#This Row],[sucralose (microgram/L]]/Tableau1[[#This Row],[sucralose C0 (microgram/L)]]</f>
        <v>1</v>
      </c>
      <c r="Z159">
        <v>60.26</v>
      </c>
      <c r="AA159">
        <v>60.26</v>
      </c>
      <c r="AB159">
        <f>Tableau1[[#This Row],[Carbamazepine (microgram/L)]]/Tableau1[[#This Row],[Carbamazepine C0 (microgram/L)]]</f>
        <v>1</v>
      </c>
    </row>
    <row r="160" spans="1:28" x14ac:dyDescent="0.25">
      <c r="A160" t="s">
        <v>50</v>
      </c>
      <c r="B160" t="s">
        <v>53</v>
      </c>
      <c r="C160">
        <v>1</v>
      </c>
      <c r="D160">
        <v>2</v>
      </c>
      <c r="E160">
        <v>25</v>
      </c>
      <c r="G160">
        <v>0</v>
      </c>
      <c r="H160">
        <v>20</v>
      </c>
      <c r="J160">
        <v>1</v>
      </c>
      <c r="K160">
        <v>1.26</v>
      </c>
      <c r="L160">
        <v>6.9</v>
      </c>
      <c r="M160">
        <f>Tableau1[[#This Row],[Cl2free (mgCl2/L)]]/Tableau1[[#This Row],[Cl2 injected (mgCl2/L)]]</f>
        <v>0.27600000000000002</v>
      </c>
      <c r="N160">
        <v>10.8</v>
      </c>
      <c r="O160">
        <f>Tableau1[[#This Row],[Cl2total (mgCl2/L)]]/Tableau1[[#This Row],[Cl2 injected (mgCl2/L)]]</f>
        <v>0.43200000000000005</v>
      </c>
      <c r="P160">
        <v>7.37</v>
      </c>
      <c r="Q160">
        <v>97.06</v>
      </c>
      <c r="R160">
        <v>97.06</v>
      </c>
      <c r="S160">
        <f>Tableau1[[#This Row],[dioxane (microgram/L)]]/Tableau1[[#This Row],[Dioxane C0]]</f>
        <v>1</v>
      </c>
      <c r="T160">
        <v>141.68</v>
      </c>
      <c r="U160">
        <v>141.68</v>
      </c>
      <c r="V160">
        <f>Tableau1[[#This Row],[sucralose (microgram/L]]/Tableau1[[#This Row],[sucralose C0 (microgram/L)]]</f>
        <v>1</v>
      </c>
      <c r="Z160">
        <v>60.26</v>
      </c>
      <c r="AA160">
        <v>60.26</v>
      </c>
      <c r="AB160">
        <f>Tableau1[[#This Row],[Carbamazepine (microgram/L)]]/Tableau1[[#This Row],[Carbamazepine C0 (microgram/L)]]</f>
        <v>1</v>
      </c>
    </row>
    <row r="161" spans="1:28" x14ac:dyDescent="0.25">
      <c r="A161" t="s">
        <v>50</v>
      </c>
      <c r="B161" t="s">
        <v>53</v>
      </c>
      <c r="C161">
        <v>1</v>
      </c>
      <c r="D161">
        <v>2</v>
      </c>
      <c r="E161">
        <v>25</v>
      </c>
      <c r="G161">
        <v>1</v>
      </c>
      <c r="H161">
        <v>21</v>
      </c>
      <c r="J161">
        <v>1</v>
      </c>
      <c r="K161">
        <v>1.26</v>
      </c>
      <c r="L161">
        <v>4.4000000000000004</v>
      </c>
      <c r="M161">
        <f>Tableau1[[#This Row],[Cl2free (mgCl2/L)]]/Tableau1[[#This Row],[Cl2 injected (mgCl2/L)]]</f>
        <v>0.17600000000000002</v>
      </c>
      <c r="N161">
        <v>7.9</v>
      </c>
      <c r="O161">
        <f>Tableau1[[#This Row],[Cl2total (mgCl2/L)]]/Tableau1[[#This Row],[Cl2 injected (mgCl2/L)]]</f>
        <v>0.316</v>
      </c>
      <c r="P161">
        <v>7.14</v>
      </c>
      <c r="Q161">
        <v>97.06</v>
      </c>
      <c r="R161">
        <v>85.43</v>
      </c>
      <c r="S161">
        <f>Tableau1[[#This Row],[dioxane (microgram/L)]]/Tableau1[[#This Row],[Dioxane C0]]</f>
        <v>0.88017720997321247</v>
      </c>
      <c r="T161">
        <v>141.68</v>
      </c>
      <c r="U161">
        <v>129.78</v>
      </c>
      <c r="V161">
        <f>Tableau1[[#This Row],[sucralose (microgram/L]]/Tableau1[[#This Row],[sucralose C0 (microgram/L)]]</f>
        <v>0.91600790513833985</v>
      </c>
      <c r="Z161">
        <v>60.26</v>
      </c>
      <c r="AA161">
        <v>33.950000000000003</v>
      </c>
      <c r="AB161">
        <f>Tableau1[[#This Row],[Carbamazepine (microgram/L)]]/Tableau1[[#This Row],[Carbamazepine C0 (microgram/L)]]</f>
        <v>0.56339196813806847</v>
      </c>
    </row>
    <row r="162" spans="1:28" x14ac:dyDescent="0.25">
      <c r="A162" t="s">
        <v>50</v>
      </c>
      <c r="B162" t="s">
        <v>53</v>
      </c>
      <c r="C162">
        <v>1</v>
      </c>
      <c r="D162">
        <v>2</v>
      </c>
      <c r="E162">
        <v>25</v>
      </c>
      <c r="G162">
        <v>2</v>
      </c>
      <c r="H162">
        <v>22</v>
      </c>
      <c r="J162">
        <v>1</v>
      </c>
      <c r="K162">
        <v>1.26</v>
      </c>
      <c r="L162">
        <v>2.64</v>
      </c>
      <c r="M162">
        <f>Tableau1[[#This Row],[Cl2free (mgCl2/L)]]/Tableau1[[#This Row],[Cl2 injected (mgCl2/L)]]</f>
        <v>0.1056</v>
      </c>
      <c r="N162">
        <v>5.28</v>
      </c>
      <c r="O162">
        <f>Tableau1[[#This Row],[Cl2total (mgCl2/L)]]/Tableau1[[#This Row],[Cl2 injected (mgCl2/L)]]</f>
        <v>0.2112</v>
      </c>
      <c r="P162">
        <v>7.1</v>
      </c>
      <c r="Q162">
        <v>97.06</v>
      </c>
      <c r="R162">
        <v>81.66</v>
      </c>
      <c r="S162">
        <f>Tableau1[[#This Row],[dioxane (microgram/L)]]/Tableau1[[#This Row],[Dioxane C0]]</f>
        <v>0.84133525654234487</v>
      </c>
      <c r="T162">
        <v>141.68</v>
      </c>
      <c r="U162">
        <v>121.71</v>
      </c>
      <c r="V162">
        <f>Tableau1[[#This Row],[sucralose (microgram/L]]/Tableau1[[#This Row],[sucralose C0 (microgram/L)]]</f>
        <v>0.85904856013551656</v>
      </c>
      <c r="Z162">
        <v>60.26</v>
      </c>
      <c r="AA162">
        <v>14.32</v>
      </c>
      <c r="AB162">
        <f>Tableau1[[#This Row],[Carbamazepine (microgram/L)]]/Tableau1[[#This Row],[Carbamazepine C0 (microgram/L)]]</f>
        <v>0.23763690673747098</v>
      </c>
    </row>
    <row r="163" spans="1:28" x14ac:dyDescent="0.25">
      <c r="A163" t="s">
        <v>50</v>
      </c>
      <c r="B163" t="s">
        <v>53</v>
      </c>
      <c r="C163">
        <v>1</v>
      </c>
      <c r="D163">
        <v>2</v>
      </c>
      <c r="E163">
        <v>25</v>
      </c>
      <c r="G163">
        <v>3</v>
      </c>
      <c r="H163">
        <v>23</v>
      </c>
      <c r="J163">
        <v>1</v>
      </c>
      <c r="K163">
        <v>1.26</v>
      </c>
      <c r="L163">
        <v>1.42</v>
      </c>
      <c r="M163">
        <f>Tableau1[[#This Row],[Cl2free (mgCl2/L)]]/Tableau1[[#This Row],[Cl2 injected (mgCl2/L)]]</f>
        <v>5.6799999999999996E-2</v>
      </c>
      <c r="N163">
        <v>3.56</v>
      </c>
      <c r="O163">
        <f>Tableau1[[#This Row],[Cl2total (mgCl2/L)]]/Tableau1[[#This Row],[Cl2 injected (mgCl2/L)]]</f>
        <v>0.1424</v>
      </c>
      <c r="P163">
        <v>7.02</v>
      </c>
      <c r="Q163">
        <v>97.06</v>
      </c>
      <c r="R163">
        <v>76.27</v>
      </c>
      <c r="S163">
        <f>Tableau1[[#This Row],[dioxane (microgram/L)]]/Tableau1[[#This Row],[Dioxane C0]]</f>
        <v>0.78580259633216565</v>
      </c>
      <c r="T163">
        <v>141.68</v>
      </c>
      <c r="U163">
        <v>114.5</v>
      </c>
      <c r="V163">
        <f>Tableau1[[#This Row],[sucralose (microgram/L]]/Tableau1[[#This Row],[sucralose C0 (microgram/L)]]</f>
        <v>0.80815923207227547</v>
      </c>
      <c r="Z163">
        <v>60.26</v>
      </c>
      <c r="AA163">
        <v>6.55</v>
      </c>
      <c r="AB163">
        <f>Tableau1[[#This Row],[Carbamazepine (microgram/L)]]/Tableau1[[#This Row],[Carbamazepine C0 (microgram/L)]]</f>
        <v>0.10869565217391304</v>
      </c>
    </row>
    <row r="164" spans="1:28" x14ac:dyDescent="0.25">
      <c r="A164" t="s">
        <v>50</v>
      </c>
      <c r="B164" t="s">
        <v>53</v>
      </c>
      <c r="C164">
        <v>1</v>
      </c>
      <c r="D164">
        <v>2</v>
      </c>
      <c r="E164">
        <v>25</v>
      </c>
      <c r="G164">
        <v>4</v>
      </c>
      <c r="H164">
        <v>24</v>
      </c>
      <c r="J164">
        <v>1</v>
      </c>
      <c r="K164">
        <v>1.26</v>
      </c>
      <c r="L164">
        <v>0.55000000000000004</v>
      </c>
      <c r="M164">
        <f>Tableau1[[#This Row],[Cl2free (mgCl2/L)]]/Tableau1[[#This Row],[Cl2 injected (mgCl2/L)]]</f>
        <v>2.2000000000000002E-2</v>
      </c>
      <c r="N164">
        <v>2.2400000000000002</v>
      </c>
      <c r="O164">
        <f>Tableau1[[#This Row],[Cl2total (mgCl2/L)]]/Tableau1[[#This Row],[Cl2 injected (mgCl2/L)]]</f>
        <v>8.9600000000000013E-2</v>
      </c>
      <c r="P164">
        <v>6.99</v>
      </c>
      <c r="Q164">
        <v>97.06</v>
      </c>
      <c r="R164">
        <v>71.28</v>
      </c>
      <c r="S164">
        <f>Tableau1[[#This Row],[dioxane (microgram/L)]]/Tableau1[[#This Row],[Dioxane C0]]</f>
        <v>0.73439109828971771</v>
      </c>
      <c r="T164">
        <v>141.68</v>
      </c>
      <c r="U164">
        <v>114.37</v>
      </c>
      <c r="V164">
        <f>Tableau1[[#This Row],[sucralose (microgram/L]]/Tableau1[[#This Row],[sucralose C0 (microgram/L)]]</f>
        <v>0.80724167137210612</v>
      </c>
      <c r="Z164">
        <v>60.26</v>
      </c>
      <c r="AA164">
        <v>3.64</v>
      </c>
      <c r="AB164">
        <f>Tableau1[[#This Row],[Carbamazepine (microgram/L)]]/Tableau1[[#This Row],[Carbamazepine C0 (microgram/L)]]</f>
        <v>6.04049120477929E-2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</dc:creator>
  <cp:lastModifiedBy>Mounir Ayadi</cp:lastModifiedBy>
  <dcterms:created xsi:type="dcterms:W3CDTF">2025-08-22T08:04:13Z</dcterms:created>
  <dcterms:modified xsi:type="dcterms:W3CDTF">2025-08-25T08:10:26Z</dcterms:modified>
</cp:coreProperties>
</file>