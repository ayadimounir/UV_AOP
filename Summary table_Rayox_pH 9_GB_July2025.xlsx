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3E60FAF2-1733-41DF-88C4-574E0B03BDB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yox Exp UV-ALONE pH 9" sheetId="21" r:id="rId1"/>
    <sheet name="Rayox Exp 12.6mgL Cl pH 9" sheetId="19" r:id="rId2"/>
    <sheet name="Rayox Exp 9.6mgL Cl2 pH 9" sheetId="18" r:id="rId3"/>
    <sheet name="Rayox Exp 6mgL Cl2  pH 9" sheetId="17" r:id="rId4"/>
    <sheet name="Rayox Exp 5mgL Cl2 pH 9" sheetId="16" r:id="rId5"/>
    <sheet name="Rayox Exp 2mgL Cl2 pH 9" sheetId="1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9" l="1"/>
  <c r="H21" i="19"/>
  <c r="H20" i="19"/>
  <c r="H19" i="19"/>
  <c r="G22" i="19"/>
  <c r="G21" i="19"/>
  <c r="G20" i="19"/>
  <c r="G19" i="19"/>
  <c r="H22" i="18"/>
  <c r="H21" i="18"/>
  <c r="H20" i="18"/>
  <c r="H19" i="18"/>
  <c r="G21" i="18"/>
  <c r="G20" i="18"/>
  <c r="G19" i="18"/>
  <c r="H22" i="17"/>
  <c r="H21" i="17"/>
  <c r="H20" i="17"/>
  <c r="H19" i="17"/>
  <c r="G21" i="17"/>
  <c r="G20" i="17"/>
  <c r="G19" i="17"/>
  <c r="H22" i="16"/>
  <c r="H21" i="16"/>
  <c r="H20" i="16"/>
  <c r="H19" i="16"/>
  <c r="G22" i="16"/>
  <c r="G21" i="16"/>
  <c r="G20" i="16"/>
  <c r="G19" i="16"/>
  <c r="H15" i="21"/>
  <c r="G15" i="21"/>
  <c r="H25" i="19"/>
  <c r="G25" i="19"/>
  <c r="H25" i="18"/>
  <c r="G25" i="18"/>
  <c r="H25" i="17"/>
  <c r="G25" i="17"/>
  <c r="H25" i="16"/>
  <c r="G25" i="16"/>
</calcChain>
</file>

<file path=xl/sharedStrings.xml><?xml version="1.0" encoding="utf-8"?>
<sst xmlns="http://schemas.openxmlformats.org/spreadsheetml/2006/main" count="268" uniqueCount="72">
  <si>
    <t>Run 6</t>
  </si>
  <si>
    <t>Solutions/Chemiclas/glassware used</t>
  </si>
  <si>
    <t>Receipt</t>
  </si>
  <si>
    <t>Results</t>
  </si>
  <si>
    <r>
      <rPr>
        <sz val="11"/>
        <color rgb="FF000000"/>
        <rFont val="Aptos Narrow"/>
        <scheme val="minor"/>
      </rPr>
      <t>Phosphate buffer (approximatelly  0.67 mM for KH2PO4 and 1.33 mM for K2PO4).</t>
    </r>
    <r>
      <rPr>
        <b/>
        <sz val="11"/>
        <color rgb="FF000000"/>
        <rFont val="Aptos Narrow"/>
        <scheme val="minor"/>
      </rPr>
      <t xml:space="preserve"> KH2PO4 MW is 136.09. K2PO4 MW is 174.18</t>
    </r>
  </si>
  <si>
    <r>
      <rPr>
        <sz val="9"/>
        <color rgb="FF000000"/>
        <rFont val="Arial"/>
      </rPr>
      <t>0.454g KH2PO4 and 1.162g K2HPO4 dissolved to</t>
    </r>
    <r>
      <rPr>
        <b/>
        <sz val="9"/>
        <color rgb="FF000000"/>
        <rFont val="Arial"/>
      </rPr>
      <t xml:space="preserve"> 5 L</t>
    </r>
    <r>
      <rPr>
        <sz val="9"/>
        <color rgb="FF000000"/>
        <rFont val="Arial"/>
      </rPr>
      <t xml:space="preserve"> "NDMA-MQ" water (HANDERSON-HASSELBACH)</t>
    </r>
  </si>
  <si>
    <t>pH 7.45</t>
  </si>
  <si>
    <t xml:space="preserve">0.82gN/L ammonia standard - Fisher Scientifique </t>
  </si>
  <si>
    <t>Concentration was confirmed by preparing a 1 mgN/L solution. This solution was diluted 2x prior to analysis on HACH machine, the same  MQ water was used for dilution. Method: Salicylate Method (8155) --&gt; 0.01 to 0.50 mg/L NH3–N</t>
  </si>
  <si>
    <t>0.98 mgN/L</t>
  </si>
  <si>
    <t>Probe contaminants (100 ug/L)</t>
  </si>
  <si>
    <t>1,4-dioxane 1g/L (prepared by Gabi), Sucralose 1g/L (prepared by Mounir), Caffeine 1.162 g/L (prepared by Zhijie)</t>
  </si>
  <si>
    <t>Order in which substances were spiked into the reactor --&gt; Ammonia, probe contaminants and then Sodium hypo</t>
  </si>
  <si>
    <t>2.5 g/L thioacetamide for free chlorine analysis</t>
  </si>
  <si>
    <t>Thioacetamide was not added as requested by Ron</t>
  </si>
  <si>
    <t>Chlorine conc spiked (mg/L)</t>
  </si>
  <si>
    <t>Volume of  9.3 g/L sodium hypo  added</t>
  </si>
  <si>
    <t>Volume of 0.82 gN/L ammonia std added</t>
  </si>
  <si>
    <t>Probe contaminants (final 100 ug/L)</t>
  </si>
  <si>
    <t>UV exposure time (min)</t>
  </si>
  <si>
    <t>Dilution</t>
  </si>
  <si>
    <t>Free chlorine (mg/L)</t>
  </si>
  <si>
    <t>Total Chlorine (mg/L)</t>
  </si>
  <si>
    <t>pH</t>
  </si>
  <si>
    <t>1,4-Dioxane (ug/L)</t>
  </si>
  <si>
    <t>Sucralose (ug/L)</t>
  </si>
  <si>
    <t>Caffeine (ug/L)</t>
  </si>
  <si>
    <t>6 mL</t>
  </si>
  <si>
    <t>500 uL (1,4-dioxane &amp; Sucralose), 430 uL Caffeine</t>
  </si>
  <si>
    <t>0 (Analysis taken 1 minute after probe contaminats were spiked – mixer was on)</t>
  </si>
  <si>
    <t>not diluted</t>
  </si>
  <si>
    <t>Run 5</t>
  </si>
  <si>
    <r>
      <rPr>
        <sz val="9"/>
        <color rgb="FF000000"/>
        <rFont val="Arial"/>
      </rPr>
      <t>21 mg KH2PO4 and 1.713g K2HPO4 dissolved to</t>
    </r>
    <r>
      <rPr>
        <b/>
        <sz val="9"/>
        <color rgb="FF000000"/>
        <rFont val="Arial"/>
      </rPr>
      <t xml:space="preserve"> 5 L</t>
    </r>
    <r>
      <rPr>
        <sz val="9"/>
        <color rgb="FF000000"/>
        <rFont val="Arial"/>
      </rPr>
      <t xml:space="preserve"> "NDMA-MQ" water (HANDERSON-HASSELBACH)</t>
    </r>
  </si>
  <si>
    <t xml:space="preserve">pH </t>
  </si>
  <si>
    <t xml:space="preserve">10 g/L sodium hypochlorite </t>
  </si>
  <si>
    <t>A 10 g/L stock solution was prepared by diluting a new commercial solution (10–15% available Cl₂) in HPLC-grade water. From this, a 2 mg/L solution was prepared, and its concentration was confirmed using a HACH machine</t>
  </si>
  <si>
    <t xml:space="preserve">C(Cl2) 9.3  g/L </t>
  </si>
  <si>
    <t xml:space="preserve">Free Chlorine analysis </t>
  </si>
  <si>
    <t>Method: 8021, 0.02 to 2.00 mg/L Cl2</t>
  </si>
  <si>
    <t>DPD powders expiry date - Feb 2030</t>
  </si>
  <si>
    <t xml:space="preserve">Total Chlorine analysis </t>
  </si>
  <si>
    <t>Method: 8167, 0.02 to 2.00 mg/L Cl2</t>
  </si>
  <si>
    <t>Becker contaning the water for dilution</t>
  </si>
  <si>
    <t>Chlorine demand free</t>
  </si>
  <si>
    <t>NDMA- MQ was used</t>
  </si>
  <si>
    <t>6.77 mL</t>
  </si>
  <si>
    <t>0 (Analysis taken 1 minute after Cl2 addition – mixer was on)</t>
  </si>
  <si>
    <t>0 (Analysis taken after 20 min of reaction - mixer was off)</t>
  </si>
  <si>
    <t>Run 4</t>
  </si>
  <si>
    <t>pH 9.18</t>
  </si>
  <si>
    <t>5.16 mL</t>
  </si>
  <si>
    <t>not diluted or 4</t>
  </si>
  <si>
    <t>Run 3</t>
  </si>
  <si>
    <t>pH 9.16</t>
  </si>
  <si>
    <t>3.23 mL</t>
  </si>
  <si>
    <t>4 or not diluted</t>
  </si>
  <si>
    <t>Run 2</t>
  </si>
  <si>
    <t>pH 9.17</t>
  </si>
  <si>
    <t>2.69 mL</t>
  </si>
  <si>
    <t>Run 1</t>
  </si>
  <si>
    <t xml:space="preserve">1.1344 g/L sodium hypochlorite </t>
  </si>
  <si>
    <t xml:space="preserve">Diluted from NEW Commercial solution (10 - 15% available cl2) in HPLC grade water, then, 1g/L solution was titrated - Iodometry method </t>
  </si>
  <si>
    <t xml:space="preserve">C(Cl2) 1.1344  g/L </t>
  </si>
  <si>
    <t xml:space="preserve">échantillon </t>
  </si>
  <si>
    <t>completer à 100ml EUP</t>
  </si>
  <si>
    <t>1g KI</t>
  </si>
  <si>
    <t>5ml Acide Acétique</t>
  </si>
  <si>
    <t>dosage par 0,1M Thiosulfate de sodium</t>
  </si>
  <si>
    <t>Color indicator 10g/L starch (potato)</t>
  </si>
  <si>
    <t>n/a</t>
  </si>
  <si>
    <t>Volume of  1.1344 g/L sodium hypo  added</t>
  </si>
  <si>
    <t>8.82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</si>
</sst>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9"/>
      <color rgb="FF333333"/>
      <name val="Arial"/>
    </font>
    <font>
      <sz val="9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333333"/>
      <name val="Arial"/>
    </font>
    <font>
      <sz val="9"/>
      <color rgb="FF000000"/>
      <name val="Arial"/>
    </font>
    <font>
      <b/>
      <sz val="9"/>
      <color rgb="FF000000"/>
      <name val="Arial"/>
    </font>
    <font>
      <sz val="10"/>
      <color rgb="FFFF0000"/>
      <name val="Arial"/>
    </font>
    <font>
      <sz val="11"/>
      <color rgb="FFFF0000"/>
      <name val="Aptos Narrow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126">
    <dxf>
      <alignment horizontal="center" vertical="center"/>
    </dxf>
    <dxf>
      <numFmt numFmtId="2" formatCode="0.00"/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78C5FC7-AEA2-46E4-B8F4-3CA88EFE997F}" name="Table32101418222630" displayName="Table32101418222630" ref="A8:A15" totalsRowShown="0" headerRowDxfId="125" dataDxfId="124">
  <autoFilter ref="A8:A15" xr:uid="{66C4F272-FA3A-4351-812C-8FADF474D6C5}"/>
  <tableColumns count="1">
    <tableColumn id="1" xr3:uid="{7B03A0F9-1538-4B9E-8B0D-6C1D86BF55E7}" name="Chlorine conc spiked (mg/L)" dataDxfId="1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F06838C-5C8D-41EE-A4BF-35ADDD849F6F}" name="Table353111519232731" displayName="Table353111519232731" ref="B8:B13" totalsRowShown="0" headerRowDxfId="122" dataDxfId="121">
  <autoFilter ref="B8:B13" xr:uid="{EB0FFA65-82ED-4D03-B3A3-F9000DF46C8A}"/>
  <tableColumns count="1">
    <tableColumn id="1" xr3:uid="{0B8BC958-796C-4FD0-A3D2-90437AE03880}" name="Volume of  9.3 g/L sodium hypo  added" dataDxfId="1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B07B612-3DF6-4DBE-B118-0FE2548B0F2E}" name="Table368121620242832" displayName="Table368121620242832" ref="C8:C13" totalsRowShown="0" headerRowDxfId="119" dataDxfId="118">
  <autoFilter ref="C8:C13" xr:uid="{05E46715-7D88-4732-B0EB-9DF82C108AF8}"/>
  <tableColumns count="1">
    <tableColumn id="1" xr3:uid="{119483A4-6C0F-45AC-99A7-FB5FF4346F0A}" name="Volume of 0.82 gN/L ammonia std added" dataDxfId="1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A14C928-D900-44A2-AD35-3DF675A72C08}" name="Table379131721252933" displayName="Table379131721252933" ref="D8:L15" totalsRowShown="0" headerRowDxfId="116" dataDxfId="115" headerRowBorderDxfId="114">
  <autoFilter ref="D8:L15" xr:uid="{E1D29424-66FB-4998-8FFA-55C2201E2ED5}"/>
  <tableColumns count="9">
    <tableColumn id="1" xr3:uid="{80326760-2E6A-41DC-A902-CAD8DB897320}" name="Probe contaminants (final 100 ug/L)" dataDxfId="113"/>
    <tableColumn id="4" xr3:uid="{EC7478DC-2586-481F-92BC-1FE041C5D7CC}" name="UV exposure time (min)" dataDxfId="112"/>
    <tableColumn id="5" xr3:uid="{9C7C6328-0F21-46A7-ADDC-E087561A2C32}" name="Dilution" dataDxfId="111"/>
    <tableColumn id="6" xr3:uid="{FD4C4D26-20D1-46B9-9CB0-C0DBBFFF53D7}" name="Free chlorine (mg/L)" dataDxfId="110">
      <calculatedColumnFormula>0.05*Table379131721252933[[#This Row],[Dilution]]</calculatedColumnFormula>
    </tableColumn>
    <tableColumn id="2" xr3:uid="{9F268439-9523-48BE-8C0F-6BFCCE5A54C8}" name="Total Chlorine (mg/L)" dataDxfId="109">
      <calculatedColumnFormula>1.01*Table379131721252933[[#This Row],[Dilution]]</calculatedColumnFormula>
    </tableColumn>
    <tableColumn id="9" xr3:uid="{BE85923A-7A1D-417A-AEDE-015D32CF43B8}" name="pH" dataDxfId="108"/>
    <tableColumn id="3" xr3:uid="{5C299C9A-9EEC-46F8-866D-A4A953E398EC}" name="1,4-Dioxane (ug/L)" dataDxfId="107"/>
    <tableColumn id="7" xr3:uid="{A0A6D793-95AA-4CDF-AE3F-46A7802240CE}" name="Sucralose (ug/L)" dataDxfId="106"/>
    <tableColumn id="8" xr3:uid="{5361603C-77BF-4CAB-8FB9-ECA76AF00C2E}" name="Caffeine (ug/L)" dataDxfId="10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7FA94AE-4D7C-4506-A7A4-1A43CA274992}" name="Table321014182226" displayName="Table321014182226" ref="A18:A25" totalsRowShown="0" headerRowDxfId="104" dataDxfId="103">
  <autoFilter ref="A18:A25" xr:uid="{66C4F272-FA3A-4351-812C-8FADF474D6C5}"/>
  <tableColumns count="1">
    <tableColumn id="1" xr3:uid="{B250B1BB-92A2-4632-8E4A-67727303E54A}" name="Chlorine conc spiked (mg/L)" dataDxfId="10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B7C04C3-86FE-44A8-AEE2-8BE12300406A}" name="Table3531115192327" displayName="Table3531115192327" ref="B18:B23" totalsRowShown="0" headerRowDxfId="101" dataDxfId="100">
  <autoFilter ref="B18:B23" xr:uid="{EB0FFA65-82ED-4D03-B3A3-F9000DF46C8A}"/>
  <tableColumns count="1">
    <tableColumn id="1" xr3:uid="{0D0AF289-7661-4613-B021-111D3023CDF8}" name="Volume of  9.3 g/L sodium hypo  added" dataDxfId="9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22033B3-417A-4BF2-8EF4-D90385373A0C}" name="Table3681216202428" displayName="Table3681216202428" ref="C18:C23" totalsRowShown="0" headerRowDxfId="98" dataDxfId="97">
  <autoFilter ref="C18:C23" xr:uid="{05E46715-7D88-4732-B0EB-9DF82C108AF8}"/>
  <tableColumns count="1">
    <tableColumn id="1" xr3:uid="{0E0CD2F0-7514-4FF6-94B8-6CE4D383A3B2}" name="Volume of 0.82 gN/L ammonia std added" dataDxfId="9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AA104C3-0CAD-40AF-A530-E0BB82222FB8}" name="Table3791317212529" displayName="Table3791317212529" ref="D18:L25" totalsRowShown="0" headerRowDxfId="95" dataDxfId="94" headerRowBorderDxfId="93">
  <autoFilter ref="D18:L25" xr:uid="{E1D29424-66FB-4998-8FFA-55C2201E2ED5}"/>
  <tableColumns count="9">
    <tableColumn id="1" xr3:uid="{88DDAF94-E50A-4970-B833-6F48F288F77A}" name="Probe contaminants (final 100 ug/L)" dataDxfId="92"/>
    <tableColumn id="4" xr3:uid="{DAE1B769-FD38-4EB9-BD41-A2B944BBDAFB}" name="UV exposure time (min)" dataDxfId="91"/>
    <tableColumn id="5" xr3:uid="{B6D2E6D4-ABA8-4F41-AFFF-EB41FCBE0394}" name="Dilution" dataDxfId="90"/>
    <tableColumn id="6" xr3:uid="{11FC8B59-0DA3-44F7-B3EB-3FC61CE04C7E}" name="Free chlorine (mg/L)" dataDxfId="89">
      <calculatedColumnFormula>0.05*Table3791317212529[[#This Row],[Dilution]]</calculatedColumnFormula>
    </tableColumn>
    <tableColumn id="2" xr3:uid="{42A88905-01AC-4872-A03E-9E53C492CE02}" name="Total Chlorine (mg/L)" dataDxfId="88">
      <calculatedColumnFormula>1.01*Table3791317212529[[#This Row],[Dilution]]</calculatedColumnFormula>
    </tableColumn>
    <tableColumn id="9" xr3:uid="{220635CD-0EE4-4F3C-8F90-A11DF8635F9D}" name="pH" dataDxfId="87"/>
    <tableColumn id="3" xr3:uid="{78D3C231-99EA-40DB-A2E4-B5EE51B15A90}" name="1,4-Dioxane (ug/L)" dataDxfId="86"/>
    <tableColumn id="7" xr3:uid="{65D115C2-C44E-4CBF-927E-6F58FCC4BF4F}" name="Sucralose (ug/L)" dataDxfId="85"/>
    <tableColumn id="8" xr3:uid="{52513104-148F-41B9-B2EF-CC6A55D74541}" name="Caffeine (ug/L)" dataDxfId="8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0C1981D-6ECB-4BB0-8FCA-6821B8830740}" name="Table3210141822" displayName="Table3210141822" ref="A18:A25" totalsRowShown="0" headerRowDxfId="83" dataDxfId="82">
  <autoFilter ref="A18:A25" xr:uid="{66C4F272-FA3A-4351-812C-8FADF474D6C5}"/>
  <tableColumns count="1">
    <tableColumn id="1" xr3:uid="{86CF8230-1E85-4EDE-A063-A34E3191D420}" name="Chlorine conc spiked (mg/L)" dataDxfId="8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DEA3775-E14F-466D-9C0D-F21EBCB51607}" name="Table35311151923" displayName="Table35311151923" ref="B18:B23" totalsRowShown="0" headerRowDxfId="80" dataDxfId="79">
  <autoFilter ref="B18:B23" xr:uid="{EB0FFA65-82ED-4D03-B3A3-F9000DF46C8A}"/>
  <tableColumns count="1">
    <tableColumn id="1" xr3:uid="{99A1FBE8-F925-4A5A-AA24-BEF9A79DDBF1}" name="Volume of  9.3 g/L sodium hypo  added" dataDxfId="7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54EC4B-6FF2-4994-B32C-4F8FB206DD27}" name="Table36812162024" displayName="Table36812162024" ref="C18:C23" totalsRowShown="0" headerRowDxfId="77" dataDxfId="76">
  <autoFilter ref="C18:C23" xr:uid="{05E46715-7D88-4732-B0EB-9DF82C108AF8}"/>
  <tableColumns count="1">
    <tableColumn id="1" xr3:uid="{3E52BF70-C676-426B-9AC0-1C57D25E5436}" name="Volume of 0.82 gN/L ammonia std added" dataDxfId="7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C560104-8EDB-41ED-9CA2-245E1462B68D}" name="Table37913172125" displayName="Table37913172125" ref="D18:L25" totalsRowShown="0" headerRowDxfId="74" dataDxfId="73" headerRowBorderDxfId="72">
  <autoFilter ref="D18:L25" xr:uid="{E1D29424-66FB-4998-8FFA-55C2201E2ED5}"/>
  <tableColumns count="9">
    <tableColumn id="1" xr3:uid="{14902D6D-D280-408F-A28A-D33A789BB2F8}" name="Probe contaminants (final 100 ug/L)" dataDxfId="71"/>
    <tableColumn id="4" xr3:uid="{14F98250-D015-4B6B-B0EC-3FB891D69227}" name="UV exposure time (min)" dataDxfId="70"/>
    <tableColumn id="5" xr3:uid="{45D9FDF7-D62E-44E7-A570-F961D21BBF33}" name="Dilution" dataDxfId="69"/>
    <tableColumn id="6" xr3:uid="{E8B4EBED-3A2E-454D-919B-10A0560FC2D7}" name="Free chlorine (mg/L)" dataDxfId="68">
      <calculatedColumnFormula>0.05*Table37913172125[[#This Row],[Dilution]]</calculatedColumnFormula>
    </tableColumn>
    <tableColumn id="2" xr3:uid="{B3BFF545-AC02-4A8A-AE9E-571BBA3E75C0}" name="Total Chlorine (mg/L)" dataDxfId="67">
      <calculatedColumnFormula>1.01*Table37913172125[[#This Row],[Dilution]]</calculatedColumnFormula>
    </tableColumn>
    <tableColumn id="9" xr3:uid="{A734B8DE-1769-4E6E-8017-DFDFFBF9A6F7}" name="pH" dataDxfId="66"/>
    <tableColumn id="3" xr3:uid="{C15A46A4-FFA8-4019-8D9F-756F49A2AF16}" name="1,4-Dioxane (ug/L)" dataDxfId="65"/>
    <tableColumn id="7" xr3:uid="{DAEB3409-42A2-4A1D-AAB9-A9D492D9CDB8}" name="Sucralose (ug/L)" dataDxfId="64"/>
    <tableColumn id="8" xr3:uid="{A9DB953B-E480-43C2-91F4-72039E957CC7}" name="Caffeine (ug/L)" dataDxfId="6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C08EBD9-C0E1-4213-AEDC-5DDEC3B2664C}" name="Table32101418" displayName="Table32101418" ref="A18:A25" totalsRowShown="0" headerRowDxfId="62" dataDxfId="61">
  <autoFilter ref="A18:A25" xr:uid="{66C4F272-FA3A-4351-812C-8FADF474D6C5}"/>
  <tableColumns count="1">
    <tableColumn id="1" xr3:uid="{B3F1C626-46DE-4FB4-94D7-6D2E95CCC0C6}" name="Chlorine conc spiked (mg/L)" dataDxfId="6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65976A-5F24-42F0-A27F-E4B89D86A812}" name="Table353111519" displayName="Table353111519" ref="B18:B23" totalsRowShown="0" headerRowDxfId="59" dataDxfId="58">
  <autoFilter ref="B18:B23" xr:uid="{EB0FFA65-82ED-4D03-B3A3-F9000DF46C8A}"/>
  <tableColumns count="1">
    <tableColumn id="1" xr3:uid="{CDC85F63-C4AD-4DBD-B4AC-112F2C087E79}" name="Volume of  9.3 g/L sodium hypo  added" dataDxfId="5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21BDEED-B424-4DBB-A65F-B88DCD84300B}" name="Table368121620" displayName="Table368121620" ref="C18:C23" totalsRowShown="0" headerRowDxfId="56" dataDxfId="55">
  <autoFilter ref="C18:C23" xr:uid="{05E46715-7D88-4732-B0EB-9DF82C108AF8}"/>
  <tableColumns count="1">
    <tableColumn id="1" xr3:uid="{4D247BC7-59A6-4266-9C23-48A03AE89CAD}" name="Volume of 0.82 gN/L ammonia std added" dataDxfId="5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93257DF-6D01-4678-88B6-35A48FFFE735}" name="Table379131721" displayName="Table379131721" ref="D18:L25" totalsRowShown="0" headerRowDxfId="53" dataDxfId="52" headerRowBorderDxfId="51">
  <autoFilter ref="D18:L25" xr:uid="{E1D29424-66FB-4998-8FFA-55C2201E2ED5}"/>
  <tableColumns count="9">
    <tableColumn id="1" xr3:uid="{4EADEB59-60AF-4B83-881C-8F45AFE6B047}" name="Probe contaminants (final 100 ug/L)" dataDxfId="50"/>
    <tableColumn id="4" xr3:uid="{F009F329-02B8-4AAE-AFAD-D6660AF14AC9}" name="UV exposure time (min)" dataDxfId="49"/>
    <tableColumn id="5" xr3:uid="{AAD5482E-1779-44E5-890F-4A8997E13DD1}" name="Dilution" dataDxfId="48"/>
    <tableColumn id="6" xr3:uid="{3636BA33-13B7-4F97-9CD4-6E4658543326}" name="Free chlorine (mg/L)" dataDxfId="47">
      <calculatedColumnFormula>0.05*Table379131721[[#This Row],[Dilution]]</calculatedColumnFormula>
    </tableColumn>
    <tableColumn id="2" xr3:uid="{1F1044E9-DAC2-47DC-AB0B-F896DC9C864E}" name="Total Chlorine (mg/L)" dataDxfId="46">
      <calculatedColumnFormula>1.01*Table379131721[[#This Row],[Dilution]]</calculatedColumnFormula>
    </tableColumn>
    <tableColumn id="9" xr3:uid="{574322BA-C93E-40B5-BE98-6A28767EB387}" name="pH" dataDxfId="45"/>
    <tableColumn id="3" xr3:uid="{807A2678-91E7-4B1A-BEA7-7C536067756B}" name="1,4-Dioxane (ug/L)" dataDxfId="44"/>
    <tableColumn id="7" xr3:uid="{3D93461F-AFD7-40BF-8BDC-BAF1697FB8FE}" name="Sucralose (ug/L)" dataDxfId="43"/>
    <tableColumn id="8" xr3:uid="{573AA75F-7A30-40C0-BA83-4171028EDD78}" name="Caffeine (ug/L)" dataDxfId="4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34817D-6C50-4CA0-BD04-F83DCFDF3DCF}" name="Table321014" displayName="Table321014" ref="A18:A25" totalsRowShown="0" headerRowDxfId="41" dataDxfId="40">
  <autoFilter ref="A18:A25" xr:uid="{66C4F272-FA3A-4351-812C-8FADF474D6C5}"/>
  <tableColumns count="1">
    <tableColumn id="1" xr3:uid="{E8710CA7-7D82-4227-A3A7-FA7100B367D5}" name="Chlorine conc spiked (mg/L)" dataDxfId="3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40FB768-D7C6-4C3D-8D5D-C37A1E9B8288}" name="Table3531115" displayName="Table3531115" ref="B18:B23" totalsRowShown="0" headerRowDxfId="38" dataDxfId="37">
  <autoFilter ref="B18:B23" xr:uid="{EB0FFA65-82ED-4D03-B3A3-F9000DF46C8A}"/>
  <tableColumns count="1">
    <tableColumn id="1" xr3:uid="{F0105061-D58E-4884-8583-BC0AB50C136B}" name="Volume of  9.3 g/L sodium hypo  added" dataDxfId="3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0EF1A9A-16FC-41CE-9B97-D7C91919B03B}" name="Table3681216" displayName="Table3681216" ref="C18:C23" totalsRowShown="0" headerRowDxfId="35" dataDxfId="34">
  <autoFilter ref="C18:C23" xr:uid="{05E46715-7D88-4732-B0EB-9DF82C108AF8}"/>
  <tableColumns count="1">
    <tableColumn id="1" xr3:uid="{6F4E23D8-F507-4800-BC1C-81318F907C2D}" name="Volume of 0.82 gN/L ammonia std added" dataDxfId="3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5F62643-85BC-4A78-BCC9-CE87C7BD3C82}" name="Table3791317" displayName="Table3791317" ref="D18:L25" totalsRowShown="0" headerRowDxfId="32" dataDxfId="31" headerRowBorderDxfId="30">
  <autoFilter ref="D18:L25" xr:uid="{E1D29424-66FB-4998-8FFA-55C2201E2ED5}"/>
  <tableColumns count="9">
    <tableColumn id="1" xr3:uid="{F634EA7E-B4B1-4D99-A9C7-AB9335023C91}" name="Probe contaminants (final 100 ug/L)" dataDxfId="29"/>
    <tableColumn id="4" xr3:uid="{0323C6ED-987B-4D55-8295-1E546C9C0A67}" name="UV exposure time (min)" dataDxfId="28"/>
    <tableColumn id="5" xr3:uid="{0F31AB0B-4145-42E5-A268-56C2BCE75F7B}" name="Dilution" dataDxfId="27"/>
    <tableColumn id="6" xr3:uid="{D2442A91-4218-43A1-9CAE-BB1946EBFDA2}" name="Free chlorine (mg/L)" dataDxfId="26">
      <calculatedColumnFormula>0.05*Table3791317[[#This Row],[Dilution]]</calculatedColumnFormula>
    </tableColumn>
    <tableColumn id="2" xr3:uid="{65EA0A07-3A5F-469D-A13C-AED9A4F7B647}" name="Total Chlorine (mg/L)" dataDxfId="25">
      <calculatedColumnFormula>1.01*Table3791317[[#This Row],[Dilution]]</calculatedColumnFormula>
    </tableColumn>
    <tableColumn id="9" xr3:uid="{28BE942E-AA2D-47BC-B794-542CF3B604CA}" name="pH" dataDxfId="24"/>
    <tableColumn id="3" xr3:uid="{F7217848-4552-4510-A89B-8EDEE529D4C5}" name="1,4-Dioxane (ug/L)" dataDxfId="23"/>
    <tableColumn id="7" xr3:uid="{19F945F7-8D86-49A1-BE8C-B5D7895FBD0D}" name="Sucralose (ug/L)" dataDxfId="22"/>
    <tableColumn id="8" xr3:uid="{D0D92831-DA28-433E-925C-7D30C511C645}" name="Caffeine (ug/L)" dataDxfId="2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5C3EFE-14E0-482D-918D-6D19C5899BBD}" name="Table3210" displayName="Table3210" ref="A18:A25" totalsRowShown="0" headerRowDxfId="20" dataDxfId="19">
  <autoFilter ref="A18:A25" xr:uid="{66C4F272-FA3A-4351-812C-8FADF474D6C5}"/>
  <tableColumns count="1">
    <tableColumn id="1" xr3:uid="{61DBC157-1D65-459E-A081-7AA14FDAB1B1}" name="Chlorine conc spiked (mg/L)" dataDxfId="1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E0879B-3E6F-4BF2-AD3D-65A9755A9437}" name="Table35311" displayName="Table35311" ref="B18:B23" totalsRowShown="0" headerRowDxfId="17" dataDxfId="16">
  <autoFilter ref="B18:B23" xr:uid="{EB0FFA65-82ED-4D03-B3A3-F9000DF46C8A}"/>
  <tableColumns count="1">
    <tableColumn id="1" xr3:uid="{5E0C6390-702E-4D6E-A812-6C1047A26088}" name="Volume of  1.1344 g/L sodium hypo  added" dataDxfId="1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C010D98-8A95-4E31-BC52-2DD031DAF601}" name="Table36812" displayName="Table36812" ref="C18:C23" totalsRowShown="0" headerRowDxfId="14" dataDxfId="13">
  <autoFilter ref="C18:C23" xr:uid="{05E46715-7D88-4732-B0EB-9DF82C108AF8}"/>
  <tableColumns count="1">
    <tableColumn id="1" xr3:uid="{24AFF0C6-CAF4-4A23-BC39-0CEC24228E3F}" name="Volume of 0.82 gN/L ammonia std added" dataDxfId="1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9F70DD-A6ED-4451-864E-85285E55683C}" name="Table37913" displayName="Table37913" ref="D18:L25" totalsRowShown="0" headerRowDxfId="11" dataDxfId="10" headerRowBorderDxfId="9">
  <autoFilter ref="D18:L25" xr:uid="{E1D29424-66FB-4998-8FFA-55C2201E2ED5}"/>
  <tableColumns count="9">
    <tableColumn id="1" xr3:uid="{1079BB89-3FBD-4CBF-9818-DBD43FB77A7B}" name="Probe contaminants (final 100 ug/L)" dataDxfId="8"/>
    <tableColumn id="4" xr3:uid="{72F325DA-2C79-4531-AB1E-F5C41E42EE95}" name="UV exposure time (min)" dataDxfId="7"/>
    <tableColumn id="5" xr3:uid="{9C8312C2-311E-41B1-92AD-923E079013DB}" name="Dilution" dataDxfId="6"/>
    <tableColumn id="6" xr3:uid="{17BE18A6-BA7D-4B57-9426-FF1CA012134A}" name="Free chlorine (mg/L)" dataDxfId="5"/>
    <tableColumn id="2" xr3:uid="{8B889EF8-19F4-4FD0-A734-A4E45877B89C}" name="Total Chlorine (mg/L)" dataDxfId="4"/>
    <tableColumn id="9" xr3:uid="{F2836F71-2931-4B26-A912-25AB8BEFE3E9}" name="pH" dataDxfId="3"/>
    <tableColumn id="3" xr3:uid="{A3528A1D-FD81-4555-A7FC-DC1F9A059DC0}" name="1,4-Dioxane (ug/L)" dataDxfId="2"/>
    <tableColumn id="7" xr3:uid="{1D3CDFE3-6FEE-4B35-965F-63D12481A42F}" name="Sucralose (ug/L)" dataDxfId="1"/>
    <tableColumn id="8" xr3:uid="{0F98D4C6-1B38-4801-9478-398424C4A0DC}" name="Caffeine (ug/L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4" Type="http://schemas.openxmlformats.org/officeDocument/2006/relationships/table" Target="../tables/table2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83B4-FA3B-410A-BD04-46E1A6610AFD}">
  <dimension ref="A1:L15"/>
  <sheetViews>
    <sheetView topLeftCell="C4" workbookViewId="0">
      <selection activeCell="J5" sqref="J5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12">
      <c r="A1" s="44" t="s">
        <v>0</v>
      </c>
      <c r="B1" s="44"/>
      <c r="C1" s="44"/>
    </row>
    <row r="2" spans="1:12">
      <c r="A2" s="10" t="s">
        <v>1</v>
      </c>
      <c r="B2" s="11" t="s">
        <v>2</v>
      </c>
      <c r="C2" s="12" t="s">
        <v>3</v>
      </c>
    </row>
    <row r="3" spans="1:12" ht="56.25" customHeight="1">
      <c r="A3" s="16" t="s">
        <v>4</v>
      </c>
      <c r="B3" s="15" t="s">
        <v>5</v>
      </c>
      <c r="C3" s="9" t="s">
        <v>6</v>
      </c>
    </row>
    <row r="4" spans="1:12" ht="81.75" customHeight="1">
      <c r="A4" s="6" t="s">
        <v>7</v>
      </c>
      <c r="B4" s="4" t="s">
        <v>8</v>
      </c>
      <c r="C4" s="7" t="s">
        <v>9</v>
      </c>
    </row>
    <row r="5" spans="1:12" ht="81.75" customHeight="1">
      <c r="A5" s="6" t="s">
        <v>10</v>
      </c>
      <c r="B5" s="4" t="s">
        <v>11</v>
      </c>
      <c r="C5" s="20" t="s">
        <v>12</v>
      </c>
      <c r="J5">
        <v>1</v>
      </c>
    </row>
    <row r="6" spans="1:12" ht="29.25">
      <c r="A6" s="5" t="s">
        <v>13</v>
      </c>
      <c r="B6" s="18" t="s">
        <v>14</v>
      </c>
      <c r="C6" s="8"/>
    </row>
    <row r="7" spans="1:12" ht="29.25" customHeight="1">
      <c r="A7" s="41">
        <v>45848</v>
      </c>
      <c r="B7" s="42"/>
      <c r="C7" s="42"/>
      <c r="D7" s="42"/>
      <c r="E7" s="17"/>
      <c r="F7" s="17"/>
      <c r="G7" s="17"/>
      <c r="H7" s="43"/>
      <c r="I7" s="43"/>
      <c r="J7" s="43"/>
      <c r="K7" s="23"/>
      <c r="L7" s="23"/>
    </row>
    <row r="8" spans="1:12" ht="32.25" customHeight="1">
      <c r="A8" s="14" t="s">
        <v>15</v>
      </c>
      <c r="B8" s="13" t="s">
        <v>16</v>
      </c>
      <c r="C8" s="13" t="s">
        <v>17</v>
      </c>
      <c r="D8" s="22" t="s">
        <v>18</v>
      </c>
      <c r="E8" s="22" t="s">
        <v>19</v>
      </c>
      <c r="F8" s="22" t="s">
        <v>20</v>
      </c>
      <c r="G8" s="22" t="s">
        <v>21</v>
      </c>
      <c r="H8" s="21" t="s">
        <v>22</v>
      </c>
      <c r="I8" s="21" t="s">
        <v>23</v>
      </c>
      <c r="J8" s="22" t="s">
        <v>24</v>
      </c>
      <c r="K8" s="24" t="s">
        <v>25</v>
      </c>
      <c r="L8" s="24" t="s">
        <v>26</v>
      </c>
    </row>
    <row r="9" spans="1:12" ht="43.5">
      <c r="A9" s="1">
        <v>0</v>
      </c>
      <c r="B9" s="1">
        <v>0</v>
      </c>
      <c r="C9" s="1" t="s">
        <v>27</v>
      </c>
      <c r="D9" s="25" t="s">
        <v>28</v>
      </c>
      <c r="E9" s="3" t="s">
        <v>29</v>
      </c>
      <c r="F9" s="1" t="s">
        <v>30</v>
      </c>
      <c r="G9" s="1">
        <v>0</v>
      </c>
      <c r="H9" s="37">
        <v>0</v>
      </c>
      <c r="I9" s="32">
        <v>8.93</v>
      </c>
      <c r="J9" s="35">
        <v>109.33205350321084</v>
      </c>
      <c r="K9" s="38">
        <v>95.42910126839692</v>
      </c>
      <c r="L9" s="38">
        <v>90.007480566758815</v>
      </c>
    </row>
    <row r="10" spans="1:12" ht="35.25" customHeight="1">
      <c r="A10" s="1">
        <v>0</v>
      </c>
      <c r="B10" s="1"/>
      <c r="C10" s="28"/>
      <c r="D10" s="25"/>
      <c r="E10" s="31">
        <v>1</v>
      </c>
      <c r="F10" s="1"/>
      <c r="G10" s="28"/>
      <c r="H10" s="1"/>
      <c r="I10" s="33">
        <v>8.94</v>
      </c>
      <c r="J10" s="36">
        <v>111.32188565934007</v>
      </c>
      <c r="K10" s="39">
        <v>100.76327151906852</v>
      </c>
      <c r="L10" s="39">
        <v>89.946900584535285</v>
      </c>
    </row>
    <row r="11" spans="1:12">
      <c r="A11" s="1">
        <v>0</v>
      </c>
      <c r="B11" s="30"/>
      <c r="C11" s="30"/>
      <c r="D11" s="25"/>
      <c r="E11" s="30">
        <v>2</v>
      </c>
      <c r="F11" s="1"/>
      <c r="G11" s="30"/>
      <c r="H11" s="30"/>
      <c r="I11" s="32">
        <v>8.91</v>
      </c>
      <c r="J11" s="35">
        <v>109.16981472850038</v>
      </c>
      <c r="K11" s="38">
        <v>96.951402110440938</v>
      </c>
      <c r="L11" s="38">
        <v>87.741973264331506</v>
      </c>
    </row>
    <row r="12" spans="1:12">
      <c r="A12" s="1">
        <v>0</v>
      </c>
      <c r="B12" s="28"/>
      <c r="C12" s="28"/>
      <c r="D12" s="25"/>
      <c r="E12" s="28">
        <v>3</v>
      </c>
      <c r="F12" s="3"/>
      <c r="G12" s="28"/>
      <c r="H12" s="1"/>
      <c r="I12" s="33">
        <v>8.9499999999999993</v>
      </c>
      <c r="J12" s="36">
        <v>104.28462888850824</v>
      </c>
      <c r="K12" s="39">
        <v>99.701253899858443</v>
      </c>
      <c r="L12" s="39">
        <v>87.685128009313374</v>
      </c>
    </row>
    <row r="13" spans="1:12" ht="30" customHeight="1">
      <c r="A13" s="1">
        <v>0</v>
      </c>
      <c r="B13" s="30"/>
      <c r="C13" s="30"/>
      <c r="D13" s="25"/>
      <c r="E13" s="30">
        <v>4</v>
      </c>
      <c r="F13" s="1"/>
      <c r="G13" s="30"/>
      <c r="H13" s="30"/>
      <c r="I13" s="32">
        <v>8.93</v>
      </c>
      <c r="J13" s="35">
        <v>100.92409038824381</v>
      </c>
      <c r="K13" s="38">
        <v>96.427694158887789</v>
      </c>
      <c r="L13" s="38">
        <v>86.61031279233562</v>
      </c>
    </row>
    <row r="14" spans="1:12" hidden="1">
      <c r="A14" s="1">
        <v>0</v>
      </c>
      <c r="B14" s="28"/>
      <c r="C14" s="28"/>
      <c r="D14" s="25"/>
      <c r="E14" s="28"/>
      <c r="F14" s="1"/>
      <c r="G14" s="28"/>
      <c r="H14" s="1"/>
      <c r="I14" s="33">
        <v>7.43</v>
      </c>
      <c r="J14" s="36"/>
      <c r="K14" s="29"/>
      <c r="L14" s="29"/>
    </row>
    <row r="15" spans="1:12" hidden="1">
      <c r="A15" s="30"/>
      <c r="B15" s="30"/>
      <c r="C15" s="30"/>
      <c r="D15" s="25"/>
      <c r="E15" s="30"/>
      <c r="F15" s="1"/>
      <c r="G15" s="30">
        <f>0.05*Table379131721252933[[#This Row],[Dilution]]</f>
        <v>0</v>
      </c>
      <c r="H15" s="30">
        <f>1.01*Table379131721252933[[#This Row],[Dilution]]</f>
        <v>0</v>
      </c>
      <c r="I15" s="32"/>
      <c r="J15" s="27"/>
      <c r="K15" s="26"/>
      <c r="L15" s="26"/>
    </row>
  </sheetData>
  <mergeCells count="3">
    <mergeCell ref="A7:D7"/>
    <mergeCell ref="H7:J7"/>
    <mergeCell ref="A1:C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9CBF-FC52-4960-AB08-43507300FC9C}">
  <dimension ref="A1:L25"/>
  <sheetViews>
    <sheetView tabSelected="1" topLeftCell="A12" workbookViewId="0">
      <selection activeCell="I26" sqref="I26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4">
      <c r="A1" s="44" t="s">
        <v>31</v>
      </c>
      <c r="B1" s="44"/>
      <c r="C1" s="44"/>
    </row>
    <row r="2" spans="1:4">
      <c r="A2" s="10" t="s">
        <v>1</v>
      </c>
      <c r="B2" s="11" t="s">
        <v>2</v>
      </c>
      <c r="C2" s="12" t="s">
        <v>3</v>
      </c>
    </row>
    <row r="3" spans="1:4" ht="56.25" customHeight="1">
      <c r="A3" s="16" t="s">
        <v>4</v>
      </c>
      <c r="B3" s="15" t="s">
        <v>32</v>
      </c>
      <c r="C3" s="40" t="s">
        <v>33</v>
      </c>
    </row>
    <row r="4" spans="1:4" ht="43.5" customHeight="1">
      <c r="A4" s="45" t="s">
        <v>34</v>
      </c>
      <c r="B4" s="46" t="s">
        <v>35</v>
      </c>
      <c r="C4" s="49" t="s">
        <v>36</v>
      </c>
      <c r="D4" s="51"/>
    </row>
    <row r="5" spans="1:4">
      <c r="A5" s="45"/>
      <c r="B5" s="47"/>
      <c r="C5" s="50"/>
      <c r="D5" s="51"/>
    </row>
    <row r="6" spans="1:4">
      <c r="A6" s="45"/>
      <c r="B6" s="47"/>
      <c r="C6" s="50"/>
      <c r="D6" s="51"/>
    </row>
    <row r="7" spans="1:4">
      <c r="A7" s="45"/>
      <c r="B7" s="47"/>
      <c r="C7" s="50"/>
      <c r="D7" s="51"/>
    </row>
    <row r="8" spans="1:4">
      <c r="A8" s="45"/>
      <c r="B8" s="47"/>
      <c r="C8" s="50"/>
      <c r="D8" s="51"/>
    </row>
    <row r="9" spans="1:4">
      <c r="A9" s="45"/>
      <c r="B9" s="47"/>
      <c r="C9" s="50"/>
      <c r="D9" s="51"/>
    </row>
    <row r="10" spans="1:4">
      <c r="A10" s="45"/>
      <c r="B10" s="48"/>
      <c r="C10" s="50"/>
      <c r="D10" s="51"/>
    </row>
    <row r="11" spans="1:4" ht="81.75" customHeight="1">
      <c r="A11" s="6" t="s">
        <v>7</v>
      </c>
      <c r="B11" s="4" t="s">
        <v>8</v>
      </c>
      <c r="C11" s="7" t="s">
        <v>9</v>
      </c>
    </row>
    <row r="12" spans="1:4" ht="81.75" customHeight="1">
      <c r="A12" s="6" t="s">
        <v>10</v>
      </c>
      <c r="B12" s="4" t="s">
        <v>11</v>
      </c>
      <c r="C12" s="20" t="s">
        <v>12</v>
      </c>
    </row>
    <row r="13" spans="1:4" ht="29.25">
      <c r="A13" s="5" t="s">
        <v>13</v>
      </c>
      <c r="B13" s="18" t="s">
        <v>14</v>
      </c>
      <c r="C13" s="8"/>
    </row>
    <row r="14" spans="1:4" ht="29.25">
      <c r="A14" s="5" t="s">
        <v>37</v>
      </c>
      <c r="B14" s="3" t="s">
        <v>38</v>
      </c>
      <c r="C14" s="52" t="s">
        <v>39</v>
      </c>
    </row>
    <row r="15" spans="1:4" ht="29.25">
      <c r="A15" s="5" t="s">
        <v>40</v>
      </c>
      <c r="B15" s="3" t="s">
        <v>41</v>
      </c>
      <c r="C15" s="53"/>
    </row>
    <row r="16" spans="1:4">
      <c r="A16" s="5" t="s">
        <v>42</v>
      </c>
      <c r="B16" s="1" t="s">
        <v>43</v>
      </c>
      <c r="C16" s="8" t="s">
        <v>44</v>
      </c>
    </row>
    <row r="17" spans="1:12" ht="29.25" customHeight="1">
      <c r="A17" s="41"/>
      <c r="B17" s="42"/>
      <c r="C17" s="42"/>
      <c r="D17" s="42"/>
      <c r="E17" s="17"/>
      <c r="F17" s="17"/>
      <c r="G17" s="17"/>
      <c r="H17" s="43"/>
      <c r="I17" s="43"/>
      <c r="J17" s="43"/>
      <c r="K17" s="23"/>
      <c r="L17" s="23"/>
    </row>
    <row r="18" spans="1:12" ht="32.25" customHeight="1">
      <c r="A18" s="14" t="s">
        <v>15</v>
      </c>
      <c r="B18" s="13" t="s">
        <v>16</v>
      </c>
      <c r="C18" s="13" t="s">
        <v>17</v>
      </c>
      <c r="D18" s="22" t="s">
        <v>18</v>
      </c>
      <c r="E18" s="22" t="s">
        <v>19</v>
      </c>
      <c r="F18" s="22" t="s">
        <v>20</v>
      </c>
      <c r="G18" s="22" t="s">
        <v>21</v>
      </c>
      <c r="H18" s="21" t="s">
        <v>22</v>
      </c>
      <c r="I18" s="21" t="s">
        <v>23</v>
      </c>
      <c r="J18" s="22" t="s">
        <v>24</v>
      </c>
      <c r="K18" s="24" t="s">
        <v>25</v>
      </c>
      <c r="L18" s="24" t="s">
        <v>26</v>
      </c>
    </row>
    <row r="19" spans="1:12" ht="29.25">
      <c r="A19" s="1">
        <v>12.6</v>
      </c>
      <c r="B19" s="1" t="s">
        <v>45</v>
      </c>
      <c r="C19" s="1" t="s">
        <v>27</v>
      </c>
      <c r="D19" s="25" t="s">
        <v>28</v>
      </c>
      <c r="E19" s="3" t="s">
        <v>46</v>
      </c>
      <c r="F19" s="1">
        <v>8</v>
      </c>
      <c r="G19" s="1">
        <f>0.86*8</f>
        <v>6.88</v>
      </c>
      <c r="H19" s="34">
        <f>1.39*8</f>
        <v>11.12</v>
      </c>
      <c r="I19" s="32">
        <v>8.65</v>
      </c>
      <c r="J19" s="35">
        <v>123.15151168214672</v>
      </c>
      <c r="K19" s="38">
        <v>87.152548152002964</v>
      </c>
      <c r="L19" s="26"/>
    </row>
    <row r="20" spans="1:12" ht="35.25" customHeight="1">
      <c r="A20" s="1">
        <v>12.6</v>
      </c>
      <c r="B20" s="1"/>
      <c r="C20" s="28"/>
      <c r="D20" s="25"/>
      <c r="E20" s="31" t="s">
        <v>47</v>
      </c>
      <c r="F20" s="1">
        <v>8</v>
      </c>
      <c r="G20" s="28">
        <f>0.6*8</f>
        <v>4.8</v>
      </c>
      <c r="H20" s="1">
        <f>0.81*8</f>
        <v>6.48</v>
      </c>
      <c r="I20" s="33">
        <v>8.6199999999999992</v>
      </c>
      <c r="J20" s="36">
        <v>110.48605561592913</v>
      </c>
      <c r="K20" s="39">
        <v>87.60396167109964</v>
      </c>
      <c r="L20" s="29"/>
    </row>
    <row r="21" spans="1:12">
      <c r="A21" s="1">
        <v>12.6</v>
      </c>
      <c r="B21" s="30"/>
      <c r="C21" s="30"/>
      <c r="D21" s="25"/>
      <c r="E21" s="30">
        <v>1</v>
      </c>
      <c r="F21" s="1">
        <v>8</v>
      </c>
      <c r="G21" s="30">
        <f>0.35*8</f>
        <v>2.8</v>
      </c>
      <c r="H21" s="30">
        <f>0.51*8</f>
        <v>4.08</v>
      </c>
      <c r="I21" s="32">
        <v>8.59</v>
      </c>
      <c r="J21" s="35">
        <v>99.567909489272509</v>
      </c>
      <c r="K21" s="38">
        <v>71.172127491566386</v>
      </c>
      <c r="L21" s="26"/>
    </row>
    <row r="22" spans="1:12">
      <c r="A22" s="1">
        <v>12.6</v>
      </c>
      <c r="B22" s="28"/>
      <c r="C22" s="28"/>
      <c r="D22" s="25"/>
      <c r="E22" s="28">
        <v>2</v>
      </c>
      <c r="F22" s="3">
        <v>4</v>
      </c>
      <c r="G22" s="28">
        <f>0.43*4</f>
        <v>1.72</v>
      </c>
      <c r="H22" s="1">
        <f>0.63*4</f>
        <v>2.52</v>
      </c>
      <c r="I22" s="33">
        <v>8.5299999999999994</v>
      </c>
      <c r="J22" s="36">
        <v>86.78440020155108</v>
      </c>
      <c r="K22" s="39">
        <v>69.376982778961761</v>
      </c>
      <c r="L22" s="29"/>
    </row>
    <row r="23" spans="1:12" ht="30" customHeight="1">
      <c r="A23" s="1">
        <v>12.6</v>
      </c>
      <c r="B23" s="30"/>
      <c r="C23" s="30"/>
      <c r="D23" s="25"/>
      <c r="E23" s="30">
        <v>3</v>
      </c>
      <c r="F23" s="1" t="s">
        <v>30</v>
      </c>
      <c r="G23" s="30">
        <v>1.28</v>
      </c>
      <c r="H23" s="30">
        <v>1.51</v>
      </c>
      <c r="I23" s="32">
        <v>8.4600000000000009</v>
      </c>
      <c r="J23" s="35">
        <v>74.520098460305618</v>
      </c>
      <c r="K23" s="38">
        <v>77.325080551884597</v>
      </c>
      <c r="L23" s="26"/>
    </row>
    <row r="24" spans="1:12">
      <c r="A24" s="1">
        <v>12.6</v>
      </c>
      <c r="B24" s="28"/>
      <c r="C24" s="28"/>
      <c r="D24" s="25"/>
      <c r="E24" s="28">
        <v>4</v>
      </c>
      <c r="F24" s="1" t="s">
        <v>30</v>
      </c>
      <c r="G24" s="28">
        <v>0.85</v>
      </c>
      <c r="H24" s="1">
        <v>0.93</v>
      </c>
      <c r="I24" s="33">
        <v>8.4600000000000009</v>
      </c>
      <c r="J24" s="36">
        <v>61.896916543130182</v>
      </c>
      <c r="K24" s="39">
        <v>58.180630827165977</v>
      </c>
      <c r="L24" s="29"/>
    </row>
    <row r="25" spans="1:12" hidden="1">
      <c r="A25" s="30"/>
      <c r="B25" s="30"/>
      <c r="C25" s="30"/>
      <c r="D25" s="25"/>
      <c r="E25" s="30"/>
      <c r="F25" s="1"/>
      <c r="G25" s="30">
        <f>0.05*Table3791317212529[[#This Row],[Dilution]]</f>
        <v>0</v>
      </c>
      <c r="H25" s="30">
        <f>1.01*Table3791317212529[[#This Row],[Dilution]]</f>
        <v>0</v>
      </c>
      <c r="I25" s="32"/>
      <c r="J25" s="27"/>
      <c r="K25" s="26"/>
      <c r="L25" s="26"/>
    </row>
  </sheetData>
  <mergeCells count="8">
    <mergeCell ref="A17:D17"/>
    <mergeCell ref="H17:J17"/>
    <mergeCell ref="A1:C1"/>
    <mergeCell ref="A4:A10"/>
    <mergeCell ref="B4:B10"/>
    <mergeCell ref="C4:C10"/>
    <mergeCell ref="D4:D10"/>
    <mergeCell ref="C14:C1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FA74-CA7B-4683-B76E-9B1D01CBFC8C}">
  <dimension ref="A1:L25"/>
  <sheetViews>
    <sheetView topLeftCell="B14" workbookViewId="0">
      <selection activeCell="J16" sqref="J16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4">
      <c r="A1" s="44" t="s">
        <v>48</v>
      </c>
      <c r="B1" s="44"/>
      <c r="C1" s="44"/>
    </row>
    <row r="2" spans="1:4">
      <c r="A2" s="10" t="s">
        <v>1</v>
      </c>
      <c r="B2" s="11" t="s">
        <v>2</v>
      </c>
      <c r="C2" s="12" t="s">
        <v>3</v>
      </c>
    </row>
    <row r="3" spans="1:4" ht="56.25" customHeight="1">
      <c r="A3" s="16" t="s">
        <v>4</v>
      </c>
      <c r="B3" s="15" t="s">
        <v>32</v>
      </c>
      <c r="C3" s="9" t="s">
        <v>49</v>
      </c>
    </row>
    <row r="4" spans="1:4" ht="43.5" customHeight="1">
      <c r="A4" s="45" t="s">
        <v>34</v>
      </c>
      <c r="B4" s="46" t="s">
        <v>35</v>
      </c>
      <c r="C4" s="49" t="s">
        <v>36</v>
      </c>
      <c r="D4" s="51"/>
    </row>
    <row r="5" spans="1:4">
      <c r="A5" s="45"/>
      <c r="B5" s="47"/>
      <c r="C5" s="50"/>
      <c r="D5" s="51"/>
    </row>
    <row r="6" spans="1:4">
      <c r="A6" s="45"/>
      <c r="B6" s="47"/>
      <c r="C6" s="50"/>
      <c r="D6" s="51"/>
    </row>
    <row r="7" spans="1:4">
      <c r="A7" s="45"/>
      <c r="B7" s="47"/>
      <c r="C7" s="50"/>
      <c r="D7" s="51"/>
    </row>
    <row r="8" spans="1:4">
      <c r="A8" s="45"/>
      <c r="B8" s="47"/>
      <c r="C8" s="50"/>
      <c r="D8" s="51"/>
    </row>
    <row r="9" spans="1:4">
      <c r="A9" s="45"/>
      <c r="B9" s="47"/>
      <c r="C9" s="50"/>
      <c r="D9" s="51"/>
    </row>
    <row r="10" spans="1:4">
      <c r="A10" s="45"/>
      <c r="B10" s="48"/>
      <c r="C10" s="50"/>
      <c r="D10" s="51"/>
    </row>
    <row r="11" spans="1:4" ht="81.75" customHeight="1">
      <c r="A11" s="6" t="s">
        <v>7</v>
      </c>
      <c r="B11" s="4" t="s">
        <v>8</v>
      </c>
      <c r="C11" s="7" t="s">
        <v>9</v>
      </c>
    </row>
    <row r="12" spans="1:4" ht="81.75" customHeight="1">
      <c r="A12" s="6" t="s">
        <v>10</v>
      </c>
      <c r="B12" s="4" t="s">
        <v>11</v>
      </c>
      <c r="C12" s="20" t="s">
        <v>12</v>
      </c>
    </row>
    <row r="13" spans="1:4" ht="29.25">
      <c r="A13" s="5" t="s">
        <v>13</v>
      </c>
      <c r="B13" s="18" t="s">
        <v>14</v>
      </c>
      <c r="C13" s="8"/>
    </row>
    <row r="14" spans="1:4" ht="29.25">
      <c r="A14" s="5" t="s">
        <v>37</v>
      </c>
      <c r="B14" s="3" t="s">
        <v>38</v>
      </c>
      <c r="C14" s="52" t="s">
        <v>39</v>
      </c>
    </row>
    <row r="15" spans="1:4" ht="29.25">
      <c r="A15" s="5" t="s">
        <v>40</v>
      </c>
      <c r="B15" s="3" t="s">
        <v>41</v>
      </c>
      <c r="C15" s="53"/>
    </row>
    <row r="16" spans="1:4">
      <c r="A16" s="5" t="s">
        <v>42</v>
      </c>
      <c r="B16" s="1" t="s">
        <v>43</v>
      </c>
      <c r="C16" s="8" t="s">
        <v>44</v>
      </c>
    </row>
    <row r="17" spans="1:12" ht="29.25" customHeight="1">
      <c r="A17" s="41"/>
      <c r="B17" s="42"/>
      <c r="C17" s="42"/>
      <c r="D17" s="42"/>
      <c r="E17" s="17"/>
      <c r="F17" s="17"/>
      <c r="G17" s="17"/>
      <c r="H17" s="43"/>
      <c r="I17" s="43"/>
      <c r="J17" s="43"/>
      <c r="K17" s="23"/>
      <c r="L17" s="23"/>
    </row>
    <row r="18" spans="1:12" ht="32.25" customHeight="1">
      <c r="A18" s="14" t="s">
        <v>15</v>
      </c>
      <c r="B18" s="13" t="s">
        <v>16</v>
      </c>
      <c r="C18" s="13" t="s">
        <v>17</v>
      </c>
      <c r="D18" s="22" t="s">
        <v>18</v>
      </c>
      <c r="E18" s="22" t="s">
        <v>19</v>
      </c>
      <c r="F18" s="22" t="s">
        <v>20</v>
      </c>
      <c r="G18" s="22" t="s">
        <v>21</v>
      </c>
      <c r="H18" s="21" t="s">
        <v>22</v>
      </c>
      <c r="I18" s="21" t="s">
        <v>23</v>
      </c>
      <c r="J18" s="22" t="s">
        <v>24</v>
      </c>
      <c r="K18" s="24" t="s">
        <v>25</v>
      </c>
      <c r="L18" s="24" t="s">
        <v>26</v>
      </c>
    </row>
    <row r="19" spans="1:12" ht="29.25">
      <c r="A19" s="1">
        <v>9.6</v>
      </c>
      <c r="B19" s="1" t="s">
        <v>50</v>
      </c>
      <c r="C19" s="1" t="s">
        <v>27</v>
      </c>
      <c r="D19" s="25" t="s">
        <v>28</v>
      </c>
      <c r="E19" s="3" t="s">
        <v>46</v>
      </c>
      <c r="F19" s="1">
        <v>5</v>
      </c>
      <c r="G19" s="1">
        <f>0.84*5</f>
        <v>4.2</v>
      </c>
      <c r="H19" s="34">
        <f>1.68*5</f>
        <v>8.4</v>
      </c>
      <c r="I19" s="32">
        <v>8.98</v>
      </c>
      <c r="J19" s="35">
        <v>117.71677307877519</v>
      </c>
      <c r="K19" s="38">
        <v>86.654697952497258</v>
      </c>
      <c r="L19" s="26"/>
    </row>
    <row r="20" spans="1:12" ht="35.25" customHeight="1">
      <c r="A20" s="1">
        <v>9.6</v>
      </c>
      <c r="B20" s="1"/>
      <c r="C20" s="28"/>
      <c r="D20" s="25"/>
      <c r="E20" s="31" t="s">
        <v>47</v>
      </c>
      <c r="F20" s="1">
        <v>5</v>
      </c>
      <c r="G20" s="28">
        <f>0.59*5</f>
        <v>2.9499999999999997</v>
      </c>
      <c r="H20" s="1">
        <f>1.14*5</f>
        <v>5.6999999999999993</v>
      </c>
      <c r="I20" s="33">
        <v>8.82</v>
      </c>
      <c r="J20" s="36">
        <v>124.18234459490655</v>
      </c>
      <c r="K20" s="39">
        <v>83.754718470172364</v>
      </c>
      <c r="L20" s="29"/>
    </row>
    <row r="21" spans="1:12">
      <c r="A21" s="30">
        <v>9.6</v>
      </c>
      <c r="B21" s="30"/>
      <c r="C21" s="30"/>
      <c r="D21" s="25"/>
      <c r="E21" s="30">
        <v>1</v>
      </c>
      <c r="F21" s="1">
        <v>5</v>
      </c>
      <c r="G21" s="30">
        <f>0.33*5</f>
        <v>1.6500000000000001</v>
      </c>
      <c r="H21" s="30">
        <f>0.62*5</f>
        <v>3.1</v>
      </c>
      <c r="I21" s="32">
        <v>8.68</v>
      </c>
      <c r="J21" s="35">
        <v>114.55841746417562</v>
      </c>
      <c r="K21" s="38">
        <v>76.154013671718559</v>
      </c>
      <c r="L21" s="26"/>
    </row>
    <row r="22" spans="1:12" ht="29.25">
      <c r="A22" s="28">
        <v>9.6</v>
      </c>
      <c r="B22" s="28"/>
      <c r="C22" s="28"/>
      <c r="D22" s="25"/>
      <c r="E22" s="28">
        <v>2</v>
      </c>
      <c r="F22" s="3" t="s">
        <v>51</v>
      </c>
      <c r="G22" s="28">
        <v>0.7</v>
      </c>
      <c r="H22" s="1">
        <f>0.38*4</f>
        <v>1.52</v>
      </c>
      <c r="I22" s="33">
        <v>8.49</v>
      </c>
      <c r="J22" s="36">
        <v>82.047963980743361</v>
      </c>
      <c r="K22" s="39">
        <v>63.630181971069632</v>
      </c>
      <c r="L22" s="29"/>
    </row>
    <row r="23" spans="1:12" ht="30" customHeight="1">
      <c r="A23" s="30">
        <v>9.6</v>
      </c>
      <c r="B23" s="30"/>
      <c r="C23" s="30"/>
      <c r="D23" s="25"/>
      <c r="E23" s="30">
        <v>3</v>
      </c>
      <c r="F23" s="1" t="s">
        <v>30</v>
      </c>
      <c r="G23" s="30">
        <v>0.24</v>
      </c>
      <c r="H23" s="30">
        <v>0.68</v>
      </c>
      <c r="I23" s="32">
        <v>8.44</v>
      </c>
      <c r="J23" s="35">
        <v>59.640080162128555</v>
      </c>
      <c r="K23" s="38">
        <v>54.929866893029192</v>
      </c>
      <c r="L23" s="26"/>
    </row>
    <row r="24" spans="1:12">
      <c r="A24" s="28">
        <v>9.6</v>
      </c>
      <c r="B24" s="28"/>
      <c r="C24" s="28"/>
      <c r="D24" s="25"/>
      <c r="E24" s="28">
        <v>4</v>
      </c>
      <c r="F24" s="1" t="s">
        <v>30</v>
      </c>
      <c r="G24" s="28">
        <v>0.06</v>
      </c>
      <c r="H24" s="1">
        <v>0.27</v>
      </c>
      <c r="I24" s="33">
        <v>8.42</v>
      </c>
      <c r="J24" s="36">
        <v>51.617906550758569</v>
      </c>
      <c r="K24" s="39">
        <v>53.014725685330909</v>
      </c>
      <c r="L24" s="29"/>
    </row>
    <row r="25" spans="1:12" hidden="1">
      <c r="A25" s="30"/>
      <c r="B25" s="30"/>
      <c r="C25" s="30"/>
      <c r="D25" s="25"/>
      <c r="E25" s="30"/>
      <c r="F25" s="1"/>
      <c r="G25" s="30">
        <f>0.05*Table37913172125[[#This Row],[Dilution]]</f>
        <v>0</v>
      </c>
      <c r="H25" s="30">
        <f>1.01*Table37913172125[[#This Row],[Dilution]]</f>
        <v>0</v>
      </c>
      <c r="I25" s="32"/>
      <c r="J25" s="27"/>
      <c r="K25" s="26"/>
      <c r="L25" s="26"/>
    </row>
  </sheetData>
  <mergeCells count="8">
    <mergeCell ref="H17:J17"/>
    <mergeCell ref="D4:D10"/>
    <mergeCell ref="A1:C1"/>
    <mergeCell ref="A4:A10"/>
    <mergeCell ref="B4:B10"/>
    <mergeCell ref="C4:C10"/>
    <mergeCell ref="C14:C15"/>
    <mergeCell ref="A17:D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7CE8-C2D6-4442-8386-118871A6D4DB}">
  <dimension ref="A1:L25"/>
  <sheetViews>
    <sheetView topLeftCell="C12" workbookViewId="0">
      <selection activeCell="M27" sqref="M27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3">
      <c r="A1" s="44" t="s">
        <v>52</v>
      </c>
      <c r="B1" s="44"/>
      <c r="C1" s="44"/>
    </row>
    <row r="2" spans="1:3">
      <c r="A2" s="10" t="s">
        <v>1</v>
      </c>
      <c r="B2" s="11" t="s">
        <v>2</v>
      </c>
      <c r="C2" s="12" t="s">
        <v>3</v>
      </c>
    </row>
    <row r="3" spans="1:3" ht="56.25" customHeight="1">
      <c r="A3" s="16" t="s">
        <v>4</v>
      </c>
      <c r="B3" s="15" t="s">
        <v>32</v>
      </c>
      <c r="C3" s="9" t="s">
        <v>53</v>
      </c>
    </row>
    <row r="4" spans="1:3" ht="43.5" customHeight="1">
      <c r="A4" s="45" t="s">
        <v>34</v>
      </c>
      <c r="B4" s="46" t="s">
        <v>35</v>
      </c>
      <c r="C4" s="49" t="s">
        <v>36</v>
      </c>
    </row>
    <row r="5" spans="1:3">
      <c r="A5" s="45"/>
      <c r="B5" s="47"/>
      <c r="C5" s="50"/>
    </row>
    <row r="6" spans="1:3">
      <c r="A6" s="45"/>
      <c r="B6" s="47"/>
      <c r="C6" s="50"/>
    </row>
    <row r="7" spans="1:3">
      <c r="A7" s="45"/>
      <c r="B7" s="47"/>
      <c r="C7" s="50"/>
    </row>
    <row r="8" spans="1:3">
      <c r="A8" s="45"/>
      <c r="B8" s="47"/>
      <c r="C8" s="50"/>
    </row>
    <row r="9" spans="1:3">
      <c r="A9" s="45"/>
      <c r="B9" s="47"/>
      <c r="C9" s="50"/>
    </row>
    <row r="10" spans="1:3">
      <c r="A10" s="45"/>
      <c r="B10" s="48"/>
      <c r="C10" s="50"/>
    </row>
    <row r="11" spans="1:3" ht="81.75" customHeight="1">
      <c r="A11" s="6" t="s">
        <v>7</v>
      </c>
      <c r="B11" s="4" t="s">
        <v>8</v>
      </c>
      <c r="C11" s="7" t="s">
        <v>9</v>
      </c>
    </row>
    <row r="12" spans="1:3" ht="81.75" customHeight="1">
      <c r="A12" s="6" t="s">
        <v>10</v>
      </c>
      <c r="B12" s="4" t="s">
        <v>11</v>
      </c>
      <c r="C12" s="20" t="s">
        <v>12</v>
      </c>
    </row>
    <row r="13" spans="1:3" ht="29.25">
      <c r="A13" s="5" t="s">
        <v>13</v>
      </c>
      <c r="B13" s="18" t="s">
        <v>14</v>
      </c>
      <c r="C13" s="8"/>
    </row>
    <row r="14" spans="1:3" ht="29.25">
      <c r="A14" s="5" t="s">
        <v>37</v>
      </c>
      <c r="B14" s="3" t="s">
        <v>38</v>
      </c>
      <c r="C14" s="52" t="s">
        <v>39</v>
      </c>
    </row>
    <row r="15" spans="1:3" ht="29.25">
      <c r="A15" s="5" t="s">
        <v>40</v>
      </c>
      <c r="B15" s="3" t="s">
        <v>41</v>
      </c>
      <c r="C15" s="53"/>
    </row>
    <row r="16" spans="1:3">
      <c r="A16" s="5" t="s">
        <v>42</v>
      </c>
      <c r="B16" s="1" t="s">
        <v>43</v>
      </c>
      <c r="C16" s="8" t="s">
        <v>44</v>
      </c>
    </row>
    <row r="17" spans="1:12" ht="29.25" customHeight="1">
      <c r="A17" s="41"/>
      <c r="B17" s="42"/>
      <c r="C17" s="42"/>
      <c r="D17" s="42"/>
      <c r="E17" s="17"/>
      <c r="F17" s="17"/>
      <c r="G17" s="17"/>
      <c r="H17" s="43"/>
      <c r="I17" s="43"/>
      <c r="J17" s="43"/>
      <c r="K17" s="23"/>
      <c r="L17" s="23"/>
    </row>
    <row r="18" spans="1:12" ht="32.25" customHeight="1">
      <c r="A18" s="14" t="s">
        <v>15</v>
      </c>
      <c r="B18" s="13" t="s">
        <v>16</v>
      </c>
      <c r="C18" s="13" t="s">
        <v>17</v>
      </c>
      <c r="D18" s="22" t="s">
        <v>18</v>
      </c>
      <c r="E18" s="22" t="s">
        <v>19</v>
      </c>
      <c r="F18" s="22" t="s">
        <v>20</v>
      </c>
      <c r="G18" s="22" t="s">
        <v>21</v>
      </c>
      <c r="H18" s="21" t="s">
        <v>22</v>
      </c>
      <c r="I18" s="21" t="s">
        <v>23</v>
      </c>
      <c r="J18" s="22" t="s">
        <v>24</v>
      </c>
      <c r="K18" s="24" t="s">
        <v>25</v>
      </c>
      <c r="L18" s="24" t="s">
        <v>26</v>
      </c>
    </row>
    <row r="19" spans="1:12" ht="29.25">
      <c r="A19" s="1">
        <v>6</v>
      </c>
      <c r="B19" s="1" t="s">
        <v>54</v>
      </c>
      <c r="C19" s="1" t="s">
        <v>27</v>
      </c>
      <c r="D19" s="25" t="s">
        <v>28</v>
      </c>
      <c r="E19" s="3" t="s">
        <v>46</v>
      </c>
      <c r="F19" s="1">
        <v>4</v>
      </c>
      <c r="G19" s="1">
        <f>0.28*4</f>
        <v>1.1200000000000001</v>
      </c>
      <c r="H19" s="34">
        <f>1.39*4</f>
        <v>5.56</v>
      </c>
      <c r="I19" s="32">
        <v>8.9700000000000006</v>
      </c>
      <c r="J19" s="35">
        <v>117.48920277168661</v>
      </c>
      <c r="K19" s="38">
        <v>72.81046148330708</v>
      </c>
      <c r="L19" s="26"/>
    </row>
    <row r="20" spans="1:12" ht="35.25" customHeight="1">
      <c r="A20" s="1">
        <v>6</v>
      </c>
      <c r="B20" s="1"/>
      <c r="C20" s="28"/>
      <c r="D20" s="25"/>
      <c r="E20" s="31" t="s">
        <v>47</v>
      </c>
      <c r="F20" s="1">
        <v>4</v>
      </c>
      <c r="G20" s="28">
        <f>0.19*4</f>
        <v>0.76</v>
      </c>
      <c r="H20" s="1">
        <f>1.23*4</f>
        <v>4.92</v>
      </c>
      <c r="I20" s="33">
        <v>8.84</v>
      </c>
      <c r="J20" s="36">
        <v>135.29399758154628</v>
      </c>
      <c r="K20" s="39">
        <v>87.217905063335962</v>
      </c>
      <c r="L20" s="29"/>
    </row>
    <row r="21" spans="1:12">
      <c r="A21" s="30">
        <v>6</v>
      </c>
      <c r="B21" s="30"/>
      <c r="C21" s="30"/>
      <c r="D21" s="25"/>
      <c r="E21" s="30">
        <v>1</v>
      </c>
      <c r="F21" s="1">
        <v>4</v>
      </c>
      <c r="G21" s="30">
        <f>0.08*4</f>
        <v>0.32</v>
      </c>
      <c r="H21" s="30">
        <f>0.79*4</f>
        <v>3.16</v>
      </c>
      <c r="I21" s="32">
        <v>8.64</v>
      </c>
      <c r="J21" s="35">
        <v>81.924513830680581</v>
      </c>
      <c r="K21" s="38">
        <v>81.210120580235881</v>
      </c>
      <c r="L21" s="26"/>
    </row>
    <row r="22" spans="1:12" ht="29.25">
      <c r="A22" s="28">
        <v>6</v>
      </c>
      <c r="B22" s="28"/>
      <c r="C22" s="28"/>
      <c r="D22" s="25"/>
      <c r="E22" s="28">
        <v>2</v>
      </c>
      <c r="F22" s="3" t="s">
        <v>55</v>
      </c>
      <c r="G22" s="28">
        <v>7.0000000000000007E-2</v>
      </c>
      <c r="H22" s="1">
        <f>0.48*4</f>
        <v>1.92</v>
      </c>
      <c r="I22" s="33">
        <v>8.4499999999999993</v>
      </c>
      <c r="J22" s="36">
        <v>61.823951222149894</v>
      </c>
      <c r="K22" s="39">
        <v>57.316890956029042</v>
      </c>
      <c r="L22" s="29"/>
    </row>
    <row r="23" spans="1:12" ht="30" customHeight="1">
      <c r="A23" s="30">
        <v>6</v>
      </c>
      <c r="B23" s="30"/>
      <c r="C23" s="30"/>
      <c r="D23" s="25"/>
      <c r="E23" s="30">
        <v>3</v>
      </c>
      <c r="F23" s="1" t="s">
        <v>30</v>
      </c>
      <c r="G23" s="30">
        <v>0.05</v>
      </c>
      <c r="H23" s="30">
        <v>1.1000000000000001</v>
      </c>
      <c r="I23" s="32">
        <v>8.33</v>
      </c>
      <c r="J23" s="35">
        <v>53.972911796523235</v>
      </c>
      <c r="K23" s="38">
        <v>52.00889398332172</v>
      </c>
      <c r="L23" s="26"/>
    </row>
    <row r="24" spans="1:12">
      <c r="A24" s="28">
        <v>6</v>
      </c>
      <c r="B24" s="28"/>
      <c r="C24" s="28"/>
      <c r="D24" s="25"/>
      <c r="E24" s="28">
        <v>4</v>
      </c>
      <c r="F24" s="1" t="s">
        <v>30</v>
      </c>
      <c r="G24" s="28">
        <v>0.03</v>
      </c>
      <c r="H24" s="1">
        <v>0.63</v>
      </c>
      <c r="I24" s="33">
        <v>8.2799999999999994</v>
      </c>
      <c r="J24" s="36">
        <v>53.318280399241694</v>
      </c>
      <c r="K24" s="39">
        <v>47.817789390954481</v>
      </c>
      <c r="L24" s="29"/>
    </row>
    <row r="25" spans="1:12" hidden="1">
      <c r="A25" s="30"/>
      <c r="B25" s="30"/>
      <c r="C25" s="30"/>
      <c r="D25" s="25"/>
      <c r="E25" s="30"/>
      <c r="F25" s="1"/>
      <c r="G25" s="30">
        <f>0.05*Table379131721[[#This Row],[Dilution]]</f>
        <v>0</v>
      </c>
      <c r="H25" s="30">
        <f>1.01*Table379131721[[#This Row],[Dilution]]</f>
        <v>0</v>
      </c>
      <c r="I25" s="32"/>
      <c r="J25" s="27"/>
      <c r="K25" s="26"/>
      <c r="L25" s="26"/>
    </row>
  </sheetData>
  <mergeCells count="7">
    <mergeCell ref="H17:J17"/>
    <mergeCell ref="B4:B10"/>
    <mergeCell ref="A1:C1"/>
    <mergeCell ref="A4:A10"/>
    <mergeCell ref="C4:C10"/>
    <mergeCell ref="C14:C15"/>
    <mergeCell ref="A17:D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A96C-0553-4763-875F-EF9291517155}">
  <dimension ref="A1:L25"/>
  <sheetViews>
    <sheetView topLeftCell="C12" workbookViewId="0">
      <selection activeCell="N17" sqref="N17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3">
      <c r="A1" s="44" t="s">
        <v>56</v>
      </c>
      <c r="B1" s="44"/>
      <c r="C1" s="44"/>
    </row>
    <row r="2" spans="1:3">
      <c r="A2" s="10" t="s">
        <v>1</v>
      </c>
      <c r="B2" s="11" t="s">
        <v>2</v>
      </c>
      <c r="C2" s="12" t="s">
        <v>3</v>
      </c>
    </row>
    <row r="3" spans="1:3" ht="56.25" customHeight="1">
      <c r="A3" s="16" t="s">
        <v>4</v>
      </c>
      <c r="B3" s="15" t="s">
        <v>32</v>
      </c>
      <c r="C3" s="9" t="s">
        <v>57</v>
      </c>
    </row>
    <row r="4" spans="1:3" ht="43.5" customHeight="1">
      <c r="A4" s="45" t="s">
        <v>34</v>
      </c>
      <c r="B4" s="46" t="s">
        <v>35</v>
      </c>
      <c r="C4" s="49" t="s">
        <v>36</v>
      </c>
    </row>
    <row r="5" spans="1:3">
      <c r="A5" s="45"/>
      <c r="B5" s="47"/>
      <c r="C5" s="50"/>
    </row>
    <row r="6" spans="1:3">
      <c r="A6" s="45"/>
      <c r="B6" s="47"/>
      <c r="C6" s="50"/>
    </row>
    <row r="7" spans="1:3">
      <c r="A7" s="45"/>
      <c r="B7" s="47"/>
      <c r="C7" s="50"/>
    </row>
    <row r="8" spans="1:3">
      <c r="A8" s="45"/>
      <c r="B8" s="47"/>
      <c r="C8" s="50"/>
    </row>
    <row r="9" spans="1:3">
      <c r="A9" s="45"/>
      <c r="B9" s="47"/>
      <c r="C9" s="50"/>
    </row>
    <row r="10" spans="1:3">
      <c r="A10" s="45"/>
      <c r="B10" s="48"/>
      <c r="C10" s="50"/>
    </row>
    <row r="11" spans="1:3" ht="81.75" customHeight="1">
      <c r="A11" s="6" t="s">
        <v>7</v>
      </c>
      <c r="B11" s="4" t="s">
        <v>8</v>
      </c>
      <c r="C11" s="7" t="s">
        <v>9</v>
      </c>
    </row>
    <row r="12" spans="1:3" ht="81.75" customHeight="1">
      <c r="A12" s="6" t="s">
        <v>10</v>
      </c>
      <c r="B12" s="4" t="s">
        <v>11</v>
      </c>
      <c r="C12" s="20" t="s">
        <v>12</v>
      </c>
    </row>
    <row r="13" spans="1:3" ht="29.25">
      <c r="A13" s="5" t="s">
        <v>13</v>
      </c>
      <c r="B13" s="18" t="s">
        <v>14</v>
      </c>
      <c r="C13" s="8"/>
    </row>
    <row r="14" spans="1:3" ht="29.25">
      <c r="A14" s="5" t="s">
        <v>37</v>
      </c>
      <c r="B14" s="3" t="s">
        <v>38</v>
      </c>
      <c r="C14" s="52" t="s">
        <v>39</v>
      </c>
    </row>
    <row r="15" spans="1:3" ht="29.25">
      <c r="A15" s="5" t="s">
        <v>40</v>
      </c>
      <c r="B15" s="3" t="s">
        <v>41</v>
      </c>
      <c r="C15" s="53"/>
    </row>
    <row r="16" spans="1:3">
      <c r="A16" s="5" t="s">
        <v>42</v>
      </c>
      <c r="B16" s="1" t="s">
        <v>43</v>
      </c>
      <c r="C16" s="8" t="s">
        <v>44</v>
      </c>
    </row>
    <row r="17" spans="1:12" ht="29.25" customHeight="1">
      <c r="A17" s="41">
        <v>45842</v>
      </c>
      <c r="B17" s="42"/>
      <c r="C17" s="42"/>
      <c r="D17" s="42"/>
      <c r="E17" s="17"/>
      <c r="F17" s="17"/>
      <c r="G17" s="17"/>
      <c r="H17" s="43"/>
      <c r="I17" s="43"/>
      <c r="J17" s="43"/>
      <c r="K17" s="23"/>
      <c r="L17" s="23"/>
    </row>
    <row r="18" spans="1:12" ht="32.25" customHeight="1">
      <c r="A18" s="14" t="s">
        <v>15</v>
      </c>
      <c r="B18" s="13" t="s">
        <v>16</v>
      </c>
      <c r="C18" s="13" t="s">
        <v>17</v>
      </c>
      <c r="D18" s="22" t="s">
        <v>18</v>
      </c>
      <c r="E18" s="22" t="s">
        <v>19</v>
      </c>
      <c r="F18" s="22" t="s">
        <v>20</v>
      </c>
      <c r="G18" s="22" t="s">
        <v>21</v>
      </c>
      <c r="H18" s="21" t="s">
        <v>22</v>
      </c>
      <c r="I18" s="21" t="s">
        <v>23</v>
      </c>
      <c r="J18" s="22" t="s">
        <v>24</v>
      </c>
      <c r="K18" s="24" t="s">
        <v>25</v>
      </c>
      <c r="L18" s="24" t="s">
        <v>26</v>
      </c>
    </row>
    <row r="19" spans="1:12" ht="29.25">
      <c r="A19" s="1">
        <v>5</v>
      </c>
      <c r="B19" s="1" t="s">
        <v>58</v>
      </c>
      <c r="C19" s="1" t="s">
        <v>27</v>
      </c>
      <c r="D19" s="25" t="s">
        <v>28</v>
      </c>
      <c r="E19" s="3" t="s">
        <v>46</v>
      </c>
      <c r="F19" s="1">
        <v>4</v>
      </c>
      <c r="G19" s="1">
        <f>0.48*4</f>
        <v>1.92</v>
      </c>
      <c r="H19" s="30">
        <f>1.2*4</f>
        <v>4.8</v>
      </c>
      <c r="I19" s="32">
        <v>9.07</v>
      </c>
      <c r="J19" s="35">
        <v>112.06867634477237</v>
      </c>
      <c r="K19" s="38">
        <v>83.409599982254846</v>
      </c>
      <c r="L19" s="26"/>
    </row>
    <row r="20" spans="1:12" ht="35.25" customHeight="1">
      <c r="A20" s="1">
        <v>5</v>
      </c>
      <c r="B20" s="1"/>
      <c r="C20" s="28"/>
      <c r="D20" s="25"/>
      <c r="E20" s="31" t="s">
        <v>47</v>
      </c>
      <c r="F20" s="1">
        <v>4</v>
      </c>
      <c r="G20" s="28">
        <f>0.18*4</f>
        <v>0.72</v>
      </c>
      <c r="H20" s="1">
        <f>1.05*4</f>
        <v>4.2</v>
      </c>
      <c r="I20" s="33">
        <v>9.06</v>
      </c>
      <c r="J20" s="36">
        <v>124.89482420433447</v>
      </c>
      <c r="K20" s="39">
        <v>76.946703615297508</v>
      </c>
      <c r="L20" s="29"/>
    </row>
    <row r="21" spans="1:12">
      <c r="A21" s="30">
        <v>5</v>
      </c>
      <c r="B21" s="30"/>
      <c r="C21" s="30"/>
      <c r="D21" s="25"/>
      <c r="E21" s="30">
        <v>1</v>
      </c>
      <c r="F21" s="1">
        <v>4</v>
      </c>
      <c r="G21" s="30">
        <f>0.04*4</f>
        <v>0.16</v>
      </c>
      <c r="H21" s="30">
        <f>0.56*4</f>
        <v>2.2400000000000002</v>
      </c>
      <c r="I21" s="32">
        <v>8.77</v>
      </c>
      <c r="J21" s="35">
        <v>88.735916662376013</v>
      </c>
      <c r="K21" s="38">
        <v>67.469939570622316</v>
      </c>
      <c r="L21" s="26"/>
    </row>
    <row r="22" spans="1:12">
      <c r="A22" s="28">
        <v>5</v>
      </c>
      <c r="B22" s="28"/>
      <c r="C22" s="28"/>
      <c r="D22" s="25"/>
      <c r="E22" s="28">
        <v>2</v>
      </c>
      <c r="F22" s="1">
        <v>4</v>
      </c>
      <c r="G22" s="28">
        <f>0.02*4</f>
        <v>0.08</v>
      </c>
      <c r="H22" s="1">
        <f>0.32*4</f>
        <v>1.28</v>
      </c>
      <c r="I22" s="33">
        <v>8.5399999999999991</v>
      </c>
      <c r="J22" s="36">
        <v>67.419510554164816</v>
      </c>
      <c r="K22" s="39">
        <v>52.243395490428838</v>
      </c>
      <c r="L22" s="29"/>
    </row>
    <row r="23" spans="1:12" ht="30" customHeight="1">
      <c r="A23" s="30">
        <v>5</v>
      </c>
      <c r="B23" s="30"/>
      <c r="C23" s="30"/>
      <c r="D23" s="25"/>
      <c r="E23" s="30">
        <v>3</v>
      </c>
      <c r="F23" s="1" t="s">
        <v>30</v>
      </c>
      <c r="G23" s="30">
        <v>0.02</v>
      </c>
      <c r="H23" s="30">
        <v>0.66</v>
      </c>
      <c r="I23" s="32">
        <v>8.48</v>
      </c>
      <c r="J23" s="35">
        <v>58.386616520119027</v>
      </c>
      <c r="K23" s="38">
        <v>50.107076804040034</v>
      </c>
      <c r="L23" s="26"/>
    </row>
    <row r="24" spans="1:12">
      <c r="A24" s="28">
        <v>5</v>
      </c>
      <c r="B24" s="28"/>
      <c r="C24" s="28"/>
      <c r="D24" s="25"/>
      <c r="E24" s="28">
        <v>4</v>
      </c>
      <c r="F24" s="1" t="s">
        <v>30</v>
      </c>
      <c r="G24" s="28">
        <v>0.01</v>
      </c>
      <c r="H24" s="1">
        <v>0.35</v>
      </c>
      <c r="I24" s="33">
        <v>8.4</v>
      </c>
      <c r="J24" s="36">
        <v>53.392476865610909</v>
      </c>
      <c r="K24" s="39">
        <v>40.91117930662675</v>
      </c>
      <c r="L24" s="29"/>
    </row>
    <row r="25" spans="1:12" hidden="1">
      <c r="A25" s="30"/>
      <c r="B25" s="30"/>
      <c r="C25" s="30"/>
      <c r="D25" s="25"/>
      <c r="E25" s="30"/>
      <c r="F25" s="1"/>
      <c r="G25" s="30">
        <f>0.05*Table3791317[[#This Row],[Dilution]]</f>
        <v>0</v>
      </c>
      <c r="H25" s="30">
        <f>1.01*Table3791317[[#This Row],[Dilution]]</f>
        <v>0</v>
      </c>
      <c r="I25" s="32"/>
      <c r="J25" s="27"/>
      <c r="K25" s="26"/>
      <c r="L25" s="26"/>
    </row>
  </sheetData>
  <mergeCells count="7">
    <mergeCell ref="H17:J17"/>
    <mergeCell ref="A1:C1"/>
    <mergeCell ref="A4:A10"/>
    <mergeCell ref="C4:C10"/>
    <mergeCell ref="C14:C15"/>
    <mergeCell ref="A17:D17"/>
    <mergeCell ref="B4:B1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631F-2E54-4390-ABA1-15A2ED3C6CFB}">
  <dimension ref="A1:L25"/>
  <sheetViews>
    <sheetView topLeftCell="C12" workbookViewId="0">
      <selection activeCell="J14" sqref="J14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3">
      <c r="A1" s="44" t="s">
        <v>59</v>
      </c>
      <c r="B1" s="44"/>
      <c r="C1" s="44"/>
    </row>
    <row r="2" spans="1:3">
      <c r="A2" s="10" t="s">
        <v>1</v>
      </c>
      <c r="B2" s="11" t="s">
        <v>2</v>
      </c>
      <c r="C2" s="12" t="s">
        <v>3</v>
      </c>
    </row>
    <row r="3" spans="1:3" ht="56.25" customHeight="1">
      <c r="A3" s="16" t="s">
        <v>4</v>
      </c>
      <c r="B3" s="15" t="s">
        <v>32</v>
      </c>
      <c r="C3" s="9" t="s">
        <v>53</v>
      </c>
    </row>
    <row r="4" spans="1:3" ht="43.5" customHeight="1">
      <c r="A4" s="45" t="s">
        <v>60</v>
      </c>
      <c r="B4" s="19" t="s">
        <v>61</v>
      </c>
      <c r="C4" s="49" t="s">
        <v>62</v>
      </c>
    </row>
    <row r="5" spans="1:3">
      <c r="A5" s="45"/>
      <c r="B5" s="2" t="s">
        <v>63</v>
      </c>
      <c r="C5" s="50"/>
    </row>
    <row r="6" spans="1:3">
      <c r="A6" s="45"/>
      <c r="B6" s="2" t="s">
        <v>64</v>
      </c>
      <c r="C6" s="50"/>
    </row>
    <row r="7" spans="1:3">
      <c r="A7" s="45"/>
      <c r="B7" s="2" t="s">
        <v>65</v>
      </c>
      <c r="C7" s="50"/>
    </row>
    <row r="8" spans="1:3">
      <c r="A8" s="45"/>
      <c r="B8" s="2" t="s">
        <v>66</v>
      </c>
      <c r="C8" s="50"/>
    </row>
    <row r="9" spans="1:3">
      <c r="A9" s="45"/>
      <c r="B9" s="2" t="s">
        <v>67</v>
      </c>
      <c r="C9" s="50"/>
    </row>
    <row r="10" spans="1:3">
      <c r="A10" s="45"/>
      <c r="B10" s="2" t="s">
        <v>68</v>
      </c>
      <c r="C10" s="50"/>
    </row>
    <row r="11" spans="1:3" ht="81.75" customHeight="1">
      <c r="A11" s="6" t="s">
        <v>7</v>
      </c>
      <c r="B11" s="4" t="s">
        <v>8</v>
      </c>
      <c r="C11" s="7" t="s">
        <v>9</v>
      </c>
    </row>
    <row r="12" spans="1:3" ht="81.75" customHeight="1">
      <c r="A12" s="6" t="s">
        <v>10</v>
      </c>
      <c r="B12" s="4" t="s">
        <v>11</v>
      </c>
      <c r="C12" s="20" t="s">
        <v>12</v>
      </c>
    </row>
    <row r="13" spans="1:3" ht="29.25">
      <c r="A13" s="5" t="s">
        <v>13</v>
      </c>
      <c r="B13" s="18" t="s">
        <v>14</v>
      </c>
      <c r="C13" s="8"/>
    </row>
    <row r="14" spans="1:3">
      <c r="A14" s="5" t="s">
        <v>37</v>
      </c>
      <c r="B14" s="3" t="s">
        <v>38</v>
      </c>
      <c r="C14" s="52" t="s">
        <v>39</v>
      </c>
    </row>
    <row r="15" spans="1:3">
      <c r="A15" s="5" t="s">
        <v>40</v>
      </c>
      <c r="B15" s="3" t="s">
        <v>41</v>
      </c>
      <c r="C15" s="53"/>
    </row>
    <row r="16" spans="1:3">
      <c r="A16" s="5" t="s">
        <v>42</v>
      </c>
      <c r="B16" s="1" t="s">
        <v>43</v>
      </c>
      <c r="C16" s="8" t="s">
        <v>69</v>
      </c>
    </row>
    <row r="17" spans="1:12" ht="29.25" customHeight="1">
      <c r="A17" s="41">
        <v>45842</v>
      </c>
      <c r="B17" s="42"/>
      <c r="C17" s="42"/>
      <c r="D17" s="42"/>
      <c r="E17" s="17"/>
      <c r="F17" s="17"/>
      <c r="G17" s="17"/>
      <c r="H17" s="43"/>
      <c r="I17" s="43"/>
      <c r="J17" s="43"/>
      <c r="K17" s="23"/>
      <c r="L17" s="23"/>
    </row>
    <row r="18" spans="1:12" ht="32.25" customHeight="1">
      <c r="A18" s="14" t="s">
        <v>15</v>
      </c>
      <c r="B18" s="13" t="s">
        <v>70</v>
      </c>
      <c r="C18" s="13" t="s">
        <v>17</v>
      </c>
      <c r="D18" s="22" t="s">
        <v>18</v>
      </c>
      <c r="E18" s="22" t="s">
        <v>19</v>
      </c>
      <c r="F18" s="22" t="s">
        <v>20</v>
      </c>
      <c r="G18" s="22" t="s">
        <v>21</v>
      </c>
      <c r="H18" s="21" t="s">
        <v>22</v>
      </c>
      <c r="I18" s="21" t="s">
        <v>23</v>
      </c>
      <c r="J18" s="22" t="s">
        <v>24</v>
      </c>
      <c r="K18" s="24" t="s">
        <v>25</v>
      </c>
      <c r="L18" s="24" t="s">
        <v>26</v>
      </c>
    </row>
    <row r="19" spans="1:12" ht="29.25">
      <c r="A19" s="1">
        <v>2</v>
      </c>
      <c r="B19" s="1" t="s">
        <v>71</v>
      </c>
      <c r="C19" s="1" t="s">
        <v>27</v>
      </c>
      <c r="D19" s="25" t="s">
        <v>28</v>
      </c>
      <c r="E19" s="3" t="s">
        <v>46</v>
      </c>
      <c r="F19" s="1" t="s">
        <v>30</v>
      </c>
      <c r="G19" s="1">
        <v>7.0000000000000007E-2</v>
      </c>
      <c r="H19" s="30">
        <v>1.81</v>
      </c>
      <c r="I19" s="32">
        <v>8.94</v>
      </c>
      <c r="J19" s="35">
        <v>139.72505476580235</v>
      </c>
      <c r="K19" s="38">
        <v>87.850877827949532</v>
      </c>
      <c r="L19" s="38">
        <v>78.458011759893395</v>
      </c>
    </row>
    <row r="20" spans="1:12" ht="35.25" customHeight="1">
      <c r="A20" s="1">
        <v>2</v>
      </c>
      <c r="B20" s="1"/>
      <c r="C20" s="28"/>
      <c r="D20" s="25"/>
      <c r="E20" s="31" t="s">
        <v>47</v>
      </c>
      <c r="F20" s="1" t="s">
        <v>30</v>
      </c>
      <c r="G20" s="28">
        <v>0.05</v>
      </c>
      <c r="H20" s="1">
        <v>1.79</v>
      </c>
      <c r="I20" s="33">
        <v>8.93</v>
      </c>
      <c r="J20" s="36">
        <v>149.74120299646381</v>
      </c>
      <c r="K20" s="39">
        <v>89.745985460988081</v>
      </c>
      <c r="L20" s="39">
        <v>90.358332992854656</v>
      </c>
    </row>
    <row r="21" spans="1:12">
      <c r="A21" s="30">
        <v>2</v>
      </c>
      <c r="B21" s="30"/>
      <c r="C21" s="30"/>
      <c r="D21" s="25"/>
      <c r="E21" s="30">
        <v>1</v>
      </c>
      <c r="F21" s="1" t="s">
        <v>30</v>
      </c>
      <c r="G21" s="30">
        <v>0.04</v>
      </c>
      <c r="H21" s="30">
        <v>0.98</v>
      </c>
      <c r="I21" s="32">
        <v>8.7899999999999991</v>
      </c>
      <c r="J21" s="35">
        <v>74.528568042750791</v>
      </c>
      <c r="K21" s="38">
        <v>61.833883618671905</v>
      </c>
      <c r="L21" s="38">
        <v>21.51341154374542</v>
      </c>
    </row>
    <row r="22" spans="1:12">
      <c r="A22" s="28">
        <v>2</v>
      </c>
      <c r="B22" s="28"/>
      <c r="C22" s="28"/>
      <c r="D22" s="25"/>
      <c r="E22" s="28">
        <v>2</v>
      </c>
      <c r="F22" s="1" t="s">
        <v>30</v>
      </c>
      <c r="G22" s="28">
        <v>0.05</v>
      </c>
      <c r="H22" s="1">
        <v>0.51</v>
      </c>
      <c r="I22" s="33">
        <v>8.7200000000000006</v>
      </c>
      <c r="J22" s="36">
        <v>59.252791759969348</v>
      </c>
      <c r="K22" s="39">
        <v>50.083733385544548</v>
      </c>
      <c r="L22" s="39">
        <v>12.0285521047971</v>
      </c>
    </row>
    <row r="23" spans="1:12" ht="30" customHeight="1">
      <c r="A23" s="30">
        <v>2</v>
      </c>
      <c r="B23" s="30"/>
      <c r="C23" s="30"/>
      <c r="D23" s="25"/>
      <c r="E23" s="30">
        <v>3</v>
      </c>
      <c r="F23" s="1" t="s">
        <v>30</v>
      </c>
      <c r="G23" s="30">
        <v>0.02</v>
      </c>
      <c r="H23" s="30">
        <v>0.28000000000000003</v>
      </c>
      <c r="I23" s="32">
        <v>8.7100000000000009</v>
      </c>
      <c r="J23" s="35">
        <v>46.953471370413908</v>
      </c>
      <c r="K23" s="38">
        <v>43.700317688402407</v>
      </c>
      <c r="L23" s="38">
        <v>8.6015145999083558</v>
      </c>
    </row>
    <row r="24" spans="1:12">
      <c r="A24" s="28">
        <v>2</v>
      </c>
      <c r="B24" s="28"/>
      <c r="C24" s="28"/>
      <c r="D24" s="25"/>
      <c r="E24" s="28">
        <v>4</v>
      </c>
      <c r="F24" s="1" t="s">
        <v>30</v>
      </c>
      <c r="G24" s="28">
        <v>0.01</v>
      </c>
      <c r="H24" s="1">
        <v>0.15</v>
      </c>
      <c r="I24" s="33">
        <v>8.6999999999999993</v>
      </c>
      <c r="J24" s="36">
        <v>43.074073576347658</v>
      </c>
      <c r="K24" s="39">
        <v>33.889893565081366</v>
      </c>
      <c r="L24" s="39">
        <v>7.3652052135023283</v>
      </c>
    </row>
    <row r="25" spans="1:12" hidden="1">
      <c r="A25" s="30"/>
      <c r="B25" s="30"/>
      <c r="C25" s="30"/>
      <c r="D25" s="25"/>
      <c r="E25" s="30"/>
      <c r="F25" s="1"/>
      <c r="G25" s="30"/>
      <c r="H25" s="30"/>
      <c r="I25" s="32"/>
      <c r="J25" s="35"/>
      <c r="K25" s="38"/>
      <c r="L25" s="26"/>
    </row>
  </sheetData>
  <mergeCells count="6">
    <mergeCell ref="H17:J17"/>
    <mergeCell ref="A1:C1"/>
    <mergeCell ref="A4:A10"/>
    <mergeCell ref="C4:C10"/>
    <mergeCell ref="C14:C15"/>
    <mergeCell ref="A17:D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2025-05-21T18:19:04Z</dcterms:created>
  <dcterms:modified xsi:type="dcterms:W3CDTF">2025-07-23T16:02:46Z</dcterms:modified>
  <cp:category/>
  <cp:contentStatus/>
</cp:coreProperties>
</file>