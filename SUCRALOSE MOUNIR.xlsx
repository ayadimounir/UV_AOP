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unir Ayadi\Desktop\Matlab code\modularized merged model\"/>
    </mc:Choice>
  </mc:AlternateContent>
  <xr:revisionPtr revIDLastSave="0" documentId="13_ncr:1_{C4FF3B14-C088-439E-9875-BCFDA2053819}" xr6:coauthVersionLast="47" xr6:coauthVersionMax="47" xr10:uidLastSave="{00000000-0000-0000-0000-000000000000}"/>
  <bookViews>
    <workbookView xWindow="-120" yWindow="-120" windowWidth="25440" windowHeight="15390" activeTab="1" xr2:uid="{00000000-000D-0000-FFFF-FFFF00000000}"/>
  </bookViews>
  <sheets>
    <sheet name="Sheet1" sheetId="1" r:id="rId1"/>
    <sheet name="Run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2" l="1"/>
  <c r="M12" i="2"/>
  <c r="M10" i="2"/>
  <c r="M8" i="2"/>
  <c r="M6" i="2"/>
  <c r="M4" i="2"/>
  <c r="M2" i="2"/>
  <c r="H14" i="2"/>
  <c r="H12" i="2"/>
  <c r="H10" i="2"/>
  <c r="H8" i="2"/>
  <c r="H6" i="2"/>
  <c r="H4" i="2"/>
  <c r="H2" i="2"/>
</calcChain>
</file>

<file path=xl/sharedStrings.xml><?xml version="1.0" encoding="utf-8"?>
<sst xmlns="http://schemas.openxmlformats.org/spreadsheetml/2006/main" count="55" uniqueCount="22">
  <si>
    <t>Conc</t>
  </si>
  <si>
    <t>Area</t>
  </si>
  <si>
    <t>Checks (100ug/L)</t>
  </si>
  <si>
    <t>Run 1</t>
  </si>
  <si>
    <t>C0-1</t>
  </si>
  <si>
    <t>CO-2</t>
  </si>
  <si>
    <t>20-1</t>
  </si>
  <si>
    <t>20-2</t>
  </si>
  <si>
    <t>40-1</t>
  </si>
  <si>
    <t>40-2</t>
  </si>
  <si>
    <t>60-1</t>
  </si>
  <si>
    <t>60-2</t>
  </si>
  <si>
    <t>1:20-1</t>
  </si>
  <si>
    <t>1:20-2</t>
  </si>
  <si>
    <t>1:40-1</t>
  </si>
  <si>
    <t>1:40-2</t>
  </si>
  <si>
    <t>2 min-1</t>
  </si>
  <si>
    <t>2 min- 2</t>
  </si>
  <si>
    <t>Run 2</t>
  </si>
  <si>
    <t>Run 3</t>
  </si>
  <si>
    <t>Average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</si>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</sst>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/>
    <xf numFmtId="0" fontId="0" fillId="2" borderId="0" xfId="0" applyFill="1"/>
    <xf numFmtId="16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Sucralose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Area</c:v>
                </c:pt>
                <c:pt idx="1">
                  <c:v>90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1089370078740156"/>
                  <c:y val="-0.16702573636628754"/>
                </c:manualLayout>
              </c:layout>
              <c:numFmt formatCode="General" sourceLinked="0"/>
            </c:trendlineLbl>
          </c:trendline>
          <c:xVal>
            <c:numRef>
              <c:f>Sheet1!$A$3:$A$7</c:f>
              <c:numCache>
                <c:formatCode>General</c:formatCode>
                <c:ptCount val="5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</c:numCache>
            </c:numRef>
          </c:xVal>
          <c:yVal>
            <c:numRef>
              <c:f>Sheet1!$B$3:$B$7</c:f>
              <c:numCache>
                <c:formatCode>General</c:formatCode>
                <c:ptCount val="5"/>
                <c:pt idx="0">
                  <c:v>195740</c:v>
                </c:pt>
                <c:pt idx="1">
                  <c:v>276762</c:v>
                </c:pt>
                <c:pt idx="2">
                  <c:v>323957</c:v>
                </c:pt>
                <c:pt idx="3">
                  <c:v>363051</c:v>
                </c:pt>
                <c:pt idx="4">
                  <c:v>393379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46-40EE-A3AB-D5F100940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55744"/>
        <c:axId val="174449792"/>
      </c:scatterChart>
      <c:valAx>
        <c:axId val="8705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4449792"/>
        <c:crosses val="autoZero"/>
        <c:crossBetween val="midCat"/>
      </c:valAx>
      <c:valAx>
        <c:axId val="174449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70557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Runs!$L$1</c:f>
              <c:strCache>
                <c:ptCount val="1"/>
                <c:pt idx="0">
                  <c:v>Area</c:v>
                </c:pt>
              </c:strCache>
            </c:strRef>
          </c:tx>
          <c:spPr>
            <a:ln w="28575">
              <a:noFill/>
            </a:ln>
          </c:spPr>
          <c:trendline>
            <c:trendlineType val="exp"/>
            <c:dispRSqr val="0"/>
            <c:dispEq val="0"/>
          </c:trendline>
          <c:xVal>
            <c:numRef>
              <c:f>Runs!$J$2:$J$15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20</c:v>
                </c:pt>
                <c:pt idx="4">
                  <c:v>40</c:v>
                </c:pt>
                <c:pt idx="5">
                  <c:v>40</c:v>
                </c:pt>
                <c:pt idx="6">
                  <c:v>60</c:v>
                </c:pt>
                <c:pt idx="7">
                  <c:v>60</c:v>
                </c:pt>
                <c:pt idx="8">
                  <c:v>80</c:v>
                </c:pt>
                <c:pt idx="9">
                  <c:v>80</c:v>
                </c:pt>
                <c:pt idx="10">
                  <c:v>100</c:v>
                </c:pt>
                <c:pt idx="11">
                  <c:v>100</c:v>
                </c:pt>
                <c:pt idx="12">
                  <c:v>120</c:v>
                </c:pt>
                <c:pt idx="13">
                  <c:v>120</c:v>
                </c:pt>
              </c:numCache>
            </c:numRef>
          </c:xVal>
          <c:yVal>
            <c:numRef>
              <c:f>Runs!$L$2:$L$15</c:f>
              <c:numCache>
                <c:formatCode>General</c:formatCode>
                <c:ptCount val="14"/>
                <c:pt idx="0">
                  <c:v>4407</c:v>
                </c:pt>
                <c:pt idx="1">
                  <c:v>4348</c:v>
                </c:pt>
                <c:pt idx="2">
                  <c:v>4159</c:v>
                </c:pt>
                <c:pt idx="3">
                  <c:v>4226</c:v>
                </c:pt>
                <c:pt idx="4">
                  <c:v>4095</c:v>
                </c:pt>
                <c:pt idx="5">
                  <c:v>4140</c:v>
                </c:pt>
                <c:pt idx="6">
                  <c:v>3756</c:v>
                </c:pt>
                <c:pt idx="7">
                  <c:v>3188</c:v>
                </c:pt>
                <c:pt idx="8">
                  <c:v>2949</c:v>
                </c:pt>
                <c:pt idx="9">
                  <c:v>3009</c:v>
                </c:pt>
                <c:pt idx="10">
                  <c:v>2910</c:v>
                </c:pt>
                <c:pt idx="11">
                  <c:v>3003</c:v>
                </c:pt>
                <c:pt idx="12">
                  <c:v>2832</c:v>
                </c:pt>
                <c:pt idx="13">
                  <c:v>2837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C9-4EB2-95E2-7661162F3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19040"/>
        <c:axId val="174520576"/>
      </c:scatterChart>
      <c:valAx>
        <c:axId val="17451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4520576"/>
        <c:crosses val="autoZero"/>
        <c:crossBetween val="midCat"/>
      </c:valAx>
      <c:valAx>
        <c:axId val="1745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45190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7</xdr:row>
      <xdr:rowOff>66675</xdr:rowOff>
    </xdr:from>
    <xdr:to>
      <xdr:col>10</xdr:col>
      <xdr:colOff>228600</xdr:colOff>
      <xdr:row>21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171451</xdr:colOff>
      <xdr:row>18</xdr:row>
      <xdr:rowOff>176211</xdr:rowOff>
    </xdr:from>
    <xdr:to>
      <xdr:col>10</xdr:col>
      <xdr:colOff>542925</xdr:colOff>
      <xdr:row>41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workbookViewId="0">
      <selection activeCell="A2" sqref="A2:B7"/>
    </sheetView>
  </sheetViews>
  <sheetFormatPr defaultRowHeight="15" x14ac:dyDescent="0.25"/>
  <cols>
    <col min="2" max="2" width="27.28515625" customWidth="1"/>
    <col min="9" max="9" width="16" customWidth="1"/>
  </cols>
  <sheetData>
    <row r="1" spans="1:10" x14ac:dyDescent="0.25">
      <c r="A1" s="1" t="s">
        <v>0</v>
      </c>
      <c r="B1" s="1" t="s">
        <v>1</v>
      </c>
      <c r="I1" t="s">
        <v>2</v>
      </c>
      <c r="J1" t="s">
        <v>1</v>
      </c>
    </row>
    <row r="2" spans="1:10" x14ac:dyDescent="0.25">
      <c r="A2" s="1">
        <v>5</v>
      </c>
      <c r="B2" s="1">
        <v>90</v>
      </c>
      <c r="I2">
        <v>1</v>
      </c>
      <c r="J2">
        <v>4996</v>
      </c>
    </row>
    <row r="3" spans="1:10" x14ac:dyDescent="0.25">
      <c r="A3" s="1">
        <v>20</v>
      </c>
      <c r="B3" s="1">
        <v>195740</v>
      </c>
      <c r="I3">
        <v>2</v>
      </c>
      <c r="J3">
        <v>3619</v>
      </c>
    </row>
    <row r="4" spans="1:10" x14ac:dyDescent="0.25">
      <c r="A4" s="1">
        <v>40</v>
      </c>
      <c r="B4" s="1">
        <v>276762</v>
      </c>
      <c r="I4">
        <v>3</v>
      </c>
      <c r="J4">
        <v>3661</v>
      </c>
    </row>
    <row r="5" spans="1:10" x14ac:dyDescent="0.25">
      <c r="A5" s="1">
        <v>60</v>
      </c>
      <c r="B5" s="1">
        <v>323957</v>
      </c>
      <c r="I5">
        <v>4</v>
      </c>
      <c r="J5">
        <v>3745</v>
      </c>
    </row>
    <row r="6" spans="1:10" x14ac:dyDescent="0.25">
      <c r="A6" s="1">
        <v>80</v>
      </c>
      <c r="B6" s="1">
        <v>363051</v>
      </c>
    </row>
    <row r="7" spans="1:10" x14ac:dyDescent="0.25">
      <c r="A7" s="1">
        <v>100</v>
      </c>
      <c r="B7" s="1">
        <v>393379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5"/>
  <sheetViews>
    <sheetView tabSelected="1" workbookViewId="0">
      <selection activeCell="W1" sqref="W1:W7"/>
    </sheetView>
  </sheetViews>
  <sheetFormatPr defaultRowHeight="15" x14ac:dyDescent="0.25"/>
  <sheetData>
    <row r="1" spans="1:23" x14ac:dyDescent="0.25">
      <c r="A1" t="s">
        <v>3</v>
      </c>
      <c r="B1" t="s">
        <v>1</v>
      </c>
      <c r="F1" t="s">
        <v>18</v>
      </c>
      <c r="G1" t="s">
        <v>1</v>
      </c>
      <c r="H1" t="s">
        <v>20</v>
      </c>
      <c r="J1" t="s">
        <v>21</v>
      </c>
      <c r="K1" s="3" t="s">
        <v>19</v>
      </c>
      <c r="L1" s="3" t="s">
        <v>1</v>
      </c>
      <c r="M1" s="3" t="s">
        <v>20</v>
      </c>
      <c r="P1">
        <v>0</v>
      </c>
      <c r="Q1">
        <v>3966</v>
      </c>
      <c r="S1">
        <v>0</v>
      </c>
      <c r="T1">
        <v>3966</v>
      </c>
      <c r="U1">
        <v>4255</v>
      </c>
      <c r="V1" s="3">
        <v>4407</v>
      </c>
      <c r="W1" s="3">
        <v>4348</v>
      </c>
    </row>
    <row r="2" spans="1:23" x14ac:dyDescent="0.25">
      <c r="A2" t="s">
        <v>4</v>
      </c>
      <c r="B2">
        <v>3987</v>
      </c>
      <c r="F2" t="s">
        <v>4</v>
      </c>
      <c r="G2">
        <v>3966</v>
      </c>
      <c r="H2">
        <f>AVERAGE(G2:G3)</f>
        <v>4110.5</v>
      </c>
      <c r="J2">
        <v>0</v>
      </c>
      <c r="K2" s="3" t="s">
        <v>4</v>
      </c>
      <c r="L2" s="3">
        <v>4407</v>
      </c>
      <c r="M2" s="3">
        <f>AVERAGE(L2:L3)</f>
        <v>4377.5</v>
      </c>
      <c r="P2">
        <v>0</v>
      </c>
      <c r="Q2">
        <v>4255</v>
      </c>
      <c r="S2">
        <v>20</v>
      </c>
      <c r="T2">
        <v>4173</v>
      </c>
      <c r="U2">
        <v>4262</v>
      </c>
      <c r="V2" s="3">
        <v>4159</v>
      </c>
      <c r="W2" s="3">
        <v>4226</v>
      </c>
    </row>
    <row r="3" spans="1:23" x14ac:dyDescent="0.25">
      <c r="A3" t="s">
        <v>5</v>
      </c>
      <c r="B3">
        <v>4053</v>
      </c>
      <c r="F3" t="s">
        <v>5</v>
      </c>
      <c r="G3">
        <v>4255</v>
      </c>
      <c r="J3">
        <v>0</v>
      </c>
      <c r="K3" s="3" t="s">
        <v>5</v>
      </c>
      <c r="L3" s="3">
        <v>4348</v>
      </c>
      <c r="M3" s="3"/>
      <c r="P3">
        <v>20</v>
      </c>
      <c r="Q3">
        <v>4173</v>
      </c>
      <c r="S3">
        <v>40</v>
      </c>
      <c r="T3">
        <v>4271</v>
      </c>
      <c r="U3">
        <v>4195</v>
      </c>
      <c r="V3" s="3">
        <v>4095</v>
      </c>
      <c r="W3" s="3">
        <v>4140</v>
      </c>
    </row>
    <row r="4" spans="1:23" x14ac:dyDescent="0.25">
      <c r="A4" t="s">
        <v>6</v>
      </c>
      <c r="B4">
        <v>3955</v>
      </c>
      <c r="F4" t="s">
        <v>6</v>
      </c>
      <c r="G4">
        <v>4173</v>
      </c>
      <c r="H4">
        <f>AVERAGE(G4:G5)</f>
        <v>4217.5</v>
      </c>
      <c r="J4">
        <v>20</v>
      </c>
      <c r="K4" s="3" t="s">
        <v>6</v>
      </c>
      <c r="L4" s="3">
        <v>4159</v>
      </c>
      <c r="M4" s="3">
        <f>AVERAGE(L4:L5)</f>
        <v>4192.5</v>
      </c>
      <c r="P4">
        <v>20</v>
      </c>
      <c r="Q4">
        <v>4262</v>
      </c>
      <c r="S4">
        <v>60</v>
      </c>
      <c r="T4">
        <v>4075</v>
      </c>
      <c r="U4">
        <v>4242</v>
      </c>
      <c r="V4" s="3">
        <v>3756</v>
      </c>
      <c r="W4" s="3">
        <v>3188</v>
      </c>
    </row>
    <row r="5" spans="1:23" x14ac:dyDescent="0.25">
      <c r="A5" t="s">
        <v>7</v>
      </c>
      <c r="B5">
        <v>3895</v>
      </c>
      <c r="F5" t="s">
        <v>7</v>
      </c>
      <c r="G5">
        <v>4262</v>
      </c>
      <c r="J5">
        <v>20</v>
      </c>
      <c r="K5" s="3" t="s">
        <v>7</v>
      </c>
      <c r="L5" s="3">
        <v>4226</v>
      </c>
      <c r="M5" s="3"/>
      <c r="P5">
        <v>40</v>
      </c>
      <c r="Q5">
        <v>4271</v>
      </c>
      <c r="S5">
        <v>80</v>
      </c>
      <c r="T5">
        <v>3926</v>
      </c>
      <c r="U5">
        <v>4020</v>
      </c>
      <c r="V5" s="3">
        <v>2949</v>
      </c>
      <c r="W5" s="3">
        <v>3009</v>
      </c>
    </row>
    <row r="6" spans="1:23" x14ac:dyDescent="0.25">
      <c r="A6" t="s">
        <v>8</v>
      </c>
      <c r="B6">
        <v>3754</v>
      </c>
      <c r="F6" t="s">
        <v>8</v>
      </c>
      <c r="G6">
        <v>4271</v>
      </c>
      <c r="H6">
        <f>AVERAGE(G6:G7)</f>
        <v>4233</v>
      </c>
      <c r="J6">
        <v>40</v>
      </c>
      <c r="K6" s="3" t="s">
        <v>8</v>
      </c>
      <c r="L6" s="3">
        <v>4095</v>
      </c>
      <c r="M6" s="3">
        <f>AVERAGE(L6:L7)</f>
        <v>4117.5</v>
      </c>
      <c r="P6">
        <v>40</v>
      </c>
      <c r="Q6">
        <v>4195</v>
      </c>
      <c r="S6">
        <v>100</v>
      </c>
      <c r="T6">
        <v>3936</v>
      </c>
      <c r="U6">
        <v>4008</v>
      </c>
      <c r="V6" s="3">
        <v>2910</v>
      </c>
      <c r="W6" s="3">
        <v>3003</v>
      </c>
    </row>
    <row r="7" spans="1:23" x14ac:dyDescent="0.25">
      <c r="A7" t="s">
        <v>9</v>
      </c>
      <c r="B7">
        <v>3737</v>
      </c>
      <c r="F7" t="s">
        <v>9</v>
      </c>
      <c r="G7">
        <v>4195</v>
      </c>
      <c r="J7">
        <v>40</v>
      </c>
      <c r="K7" s="3" t="s">
        <v>9</v>
      </c>
      <c r="L7" s="3">
        <v>4140</v>
      </c>
      <c r="M7" s="3"/>
      <c r="P7">
        <v>60</v>
      </c>
      <c r="Q7">
        <v>4075</v>
      </c>
      <c r="S7">
        <v>120</v>
      </c>
      <c r="T7">
        <v>3929</v>
      </c>
      <c r="U7">
        <v>3845</v>
      </c>
      <c r="V7" s="3">
        <v>2832</v>
      </c>
      <c r="W7" s="3">
        <v>2837</v>
      </c>
    </row>
    <row r="8" spans="1:23" x14ac:dyDescent="0.25">
      <c r="A8" t="s">
        <v>10</v>
      </c>
      <c r="B8">
        <v>3773</v>
      </c>
      <c r="F8" t="s">
        <v>10</v>
      </c>
      <c r="G8">
        <v>4075</v>
      </c>
      <c r="H8">
        <f>AVERAGE(G8:G9)</f>
        <v>4158.5</v>
      </c>
      <c r="J8">
        <v>60</v>
      </c>
      <c r="K8" s="3" t="s">
        <v>10</v>
      </c>
      <c r="L8" s="3">
        <v>3756</v>
      </c>
      <c r="M8" s="3">
        <f>AVERAGE(L8:L9)</f>
        <v>3472</v>
      </c>
      <c r="P8">
        <v>60</v>
      </c>
      <c r="Q8">
        <v>4242</v>
      </c>
    </row>
    <row r="9" spans="1:23" x14ac:dyDescent="0.25">
      <c r="A9" t="s">
        <v>11</v>
      </c>
      <c r="B9">
        <v>3781</v>
      </c>
      <c r="F9" t="s">
        <v>11</v>
      </c>
      <c r="G9">
        <v>4242</v>
      </c>
      <c r="J9">
        <v>60</v>
      </c>
      <c r="K9" s="3" t="s">
        <v>11</v>
      </c>
      <c r="L9" s="3">
        <v>3188</v>
      </c>
      <c r="M9" s="3"/>
      <c r="P9">
        <v>80</v>
      </c>
      <c r="Q9">
        <v>3926</v>
      </c>
    </row>
    <row r="10" spans="1:23" x14ac:dyDescent="0.25">
      <c r="A10" t="s">
        <v>12</v>
      </c>
      <c r="B10">
        <v>3802</v>
      </c>
      <c r="F10" t="s">
        <v>12</v>
      </c>
      <c r="G10">
        <v>3926</v>
      </c>
      <c r="H10">
        <f>AVERAGE(G10:G11)</f>
        <v>3973</v>
      </c>
      <c r="J10">
        <v>80</v>
      </c>
      <c r="K10" s="3" t="s">
        <v>12</v>
      </c>
      <c r="L10" s="3">
        <v>2949</v>
      </c>
      <c r="M10" s="3">
        <f>AVERAGE(L10:L11)</f>
        <v>2979</v>
      </c>
      <c r="P10">
        <v>80</v>
      </c>
      <c r="Q10">
        <v>4020</v>
      </c>
    </row>
    <row r="11" spans="1:23" x14ac:dyDescent="0.25">
      <c r="A11" t="s">
        <v>13</v>
      </c>
      <c r="B11">
        <v>3526</v>
      </c>
      <c r="F11" t="s">
        <v>13</v>
      </c>
      <c r="G11">
        <v>4020</v>
      </c>
      <c r="J11">
        <v>80</v>
      </c>
      <c r="K11" s="3" t="s">
        <v>13</v>
      </c>
      <c r="L11" s="3">
        <v>3009</v>
      </c>
      <c r="M11" s="3"/>
      <c r="P11">
        <v>100</v>
      </c>
      <c r="Q11">
        <v>3936</v>
      </c>
    </row>
    <row r="12" spans="1:23" x14ac:dyDescent="0.25">
      <c r="A12" t="s">
        <v>14</v>
      </c>
      <c r="B12">
        <v>3671</v>
      </c>
      <c r="F12" t="s">
        <v>14</v>
      </c>
      <c r="G12">
        <v>3936</v>
      </c>
      <c r="H12">
        <f>AVERAGE(G12:G13)</f>
        <v>3972</v>
      </c>
      <c r="J12">
        <v>100</v>
      </c>
      <c r="K12" s="3" t="s">
        <v>14</v>
      </c>
      <c r="L12" s="3">
        <v>2910</v>
      </c>
      <c r="M12" s="3">
        <f>AVERAGE(L12:L13)</f>
        <v>2956.5</v>
      </c>
      <c r="P12">
        <v>100</v>
      </c>
      <c r="Q12">
        <v>4008</v>
      </c>
    </row>
    <row r="13" spans="1:23" x14ac:dyDescent="0.25">
      <c r="A13" t="s">
        <v>15</v>
      </c>
      <c r="B13">
        <v>3625</v>
      </c>
      <c r="F13" t="s">
        <v>15</v>
      </c>
      <c r="G13">
        <v>4008</v>
      </c>
      <c r="J13">
        <v>100</v>
      </c>
      <c r="K13" s="3" t="s">
        <v>15</v>
      </c>
      <c r="L13" s="3">
        <v>3003</v>
      </c>
      <c r="M13" s="3"/>
      <c r="P13">
        <v>120</v>
      </c>
      <c r="Q13">
        <v>3929</v>
      </c>
    </row>
    <row r="14" spans="1:23" x14ac:dyDescent="0.25">
      <c r="A14" s="2" t="s">
        <v>16</v>
      </c>
      <c r="B14">
        <v>3595</v>
      </c>
      <c r="F14" s="2" t="s">
        <v>16</v>
      </c>
      <c r="G14">
        <v>3929</v>
      </c>
      <c r="H14">
        <f>AVERAGE(G14:G15)</f>
        <v>3887</v>
      </c>
      <c r="J14">
        <v>120</v>
      </c>
      <c r="K14" s="4" t="s">
        <v>16</v>
      </c>
      <c r="L14" s="3">
        <v>2832</v>
      </c>
      <c r="M14" s="3">
        <f>AVERAGE(L14:L15)</f>
        <v>2834.5</v>
      </c>
      <c r="P14">
        <v>120</v>
      </c>
      <c r="Q14">
        <v>3845</v>
      </c>
    </row>
    <row r="15" spans="1:23" x14ac:dyDescent="0.25">
      <c r="A15" s="2" t="s">
        <v>17</v>
      </c>
      <c r="B15">
        <v>3800</v>
      </c>
      <c r="F15" s="2" t="s">
        <v>17</v>
      </c>
      <c r="G15">
        <v>3845</v>
      </c>
      <c r="J15">
        <v>120</v>
      </c>
      <c r="K15" s="4" t="s">
        <v>17</v>
      </c>
      <c r="L15" s="3">
        <v>2837</v>
      </c>
      <c r="M15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Runs</vt:lpstr>
      <vt:lpstr>Sheet3</vt:lpstr>
    </vt:vector>
  </TitlesOfParts>
  <Company>Agilent Technologies,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DWRG</dc:creator>
  <cp:lastModifiedBy>Mounir Ayadi</cp:lastModifiedBy>
  <dcterms:created xsi:type="dcterms:W3CDTF">2025-04-17T17:46:43Z</dcterms:created>
  <dcterms:modified xsi:type="dcterms:W3CDTF">2025-04-17T19:30:30Z</dcterms:modified>
</cp:coreProperties>
</file>